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yogeshchoudhari/Downloads/capstone project/part3-project/analysis/"/>
    </mc:Choice>
  </mc:AlternateContent>
  <xr:revisionPtr revIDLastSave="0" documentId="13_ncr:1_{371BC872-D6E0-B346-B0E3-DA1DD531CABD}" xr6:coauthVersionLast="47" xr6:coauthVersionMax="47" xr10:uidLastSave="{00000000-0000-0000-0000-000000000000}"/>
  <bookViews>
    <workbookView xWindow="0" yWindow="660" windowWidth="29400" windowHeight="18460" firstSheet="1" activeTab="6" xr2:uid="{2DC3FBEA-1A23-9B42-BE3A-D8BD3F40B40A}"/>
  </bookViews>
  <sheets>
    <sheet name="original_data" sheetId="1" r:id="rId1"/>
    <sheet name="cleaned_data" sheetId="3" r:id="rId2"/>
    <sheet name="dummy_variables" sheetId="4" r:id="rId3"/>
    <sheet name="simple_regression" sheetId="7" r:id="rId4"/>
    <sheet name="multiple_regression" sheetId="9" r:id="rId5"/>
    <sheet name="multiple_helper" sheetId="8" r:id="rId6"/>
    <sheet name="predictions_residuals" sheetId="12" r:id="rId7"/>
    <sheet name="model_comparison" sheetId="13" r:id="rId8"/>
    <sheet name="top_residuals" sheetId="15" r:id="rId9"/>
  </sheets>
  <definedNames>
    <definedName name="_xlnm._FilterDatabase" localSheetId="1" hidden="1">cleaned_data!$A$1:$N$321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5" l="1"/>
  <c r="G6" i="15"/>
  <c r="G7" i="15"/>
  <c r="G8" i="15"/>
  <c r="G9" i="15"/>
  <c r="G10" i="15"/>
  <c r="G11" i="15"/>
  <c r="G12" i="15"/>
  <c r="G13" i="15"/>
  <c r="G4" i="15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2" i="8"/>
  <c r="G2" i="8"/>
  <c r="F2" i="8"/>
  <c r="E2" i="8"/>
  <c r="D2" i="8"/>
  <c r="C2" i="8"/>
  <c r="B2" i="8"/>
  <c r="K3" i="4"/>
  <c r="M3" i="8" s="1"/>
  <c r="K4" i="4"/>
  <c r="M4" i="8" s="1"/>
  <c r="K5" i="4"/>
  <c r="M5" i="8" s="1"/>
  <c r="K6" i="4"/>
  <c r="M6" i="8" s="1"/>
  <c r="K7" i="4"/>
  <c r="M7" i="8" s="1"/>
  <c r="K8" i="4"/>
  <c r="M8" i="8" s="1"/>
  <c r="K9" i="4"/>
  <c r="M9" i="8" s="1"/>
  <c r="K10" i="4"/>
  <c r="M10" i="8" s="1"/>
  <c r="K11" i="4"/>
  <c r="M11" i="8" s="1"/>
  <c r="K12" i="4"/>
  <c r="M12" i="8" s="1"/>
  <c r="K13" i="4"/>
  <c r="M13" i="8" s="1"/>
  <c r="K14" i="4"/>
  <c r="M14" i="8" s="1"/>
  <c r="K15" i="4"/>
  <c r="M15" i="8" s="1"/>
  <c r="K16" i="4"/>
  <c r="M16" i="8" s="1"/>
  <c r="K17" i="4"/>
  <c r="M17" i="8" s="1"/>
  <c r="K18" i="4"/>
  <c r="M18" i="8" s="1"/>
  <c r="K19" i="4"/>
  <c r="M19" i="8" s="1"/>
  <c r="K20" i="4"/>
  <c r="M20" i="8" s="1"/>
  <c r="K21" i="4"/>
  <c r="M21" i="8" s="1"/>
  <c r="K22" i="4"/>
  <c r="M22" i="8" s="1"/>
  <c r="K23" i="4"/>
  <c r="M23" i="8" s="1"/>
  <c r="K24" i="4"/>
  <c r="M24" i="8" s="1"/>
  <c r="K25" i="4"/>
  <c r="M25" i="8" s="1"/>
  <c r="K26" i="4"/>
  <c r="M26" i="8" s="1"/>
  <c r="K27" i="4"/>
  <c r="M27" i="8" s="1"/>
  <c r="K28" i="4"/>
  <c r="M28" i="8" s="1"/>
  <c r="K29" i="4"/>
  <c r="M29" i="8" s="1"/>
  <c r="K30" i="4"/>
  <c r="M30" i="8" s="1"/>
  <c r="K31" i="4"/>
  <c r="M31" i="8" s="1"/>
  <c r="K32" i="4"/>
  <c r="M32" i="8" s="1"/>
  <c r="K33" i="4"/>
  <c r="M33" i="8" s="1"/>
  <c r="K34" i="4"/>
  <c r="M34" i="8" s="1"/>
  <c r="K35" i="4"/>
  <c r="M35" i="8" s="1"/>
  <c r="K36" i="4"/>
  <c r="M36" i="8" s="1"/>
  <c r="K37" i="4"/>
  <c r="M37" i="8" s="1"/>
  <c r="K38" i="4"/>
  <c r="M38" i="8" s="1"/>
  <c r="K39" i="4"/>
  <c r="M39" i="8" s="1"/>
  <c r="K40" i="4"/>
  <c r="M40" i="8" s="1"/>
  <c r="K41" i="4"/>
  <c r="M41" i="8" s="1"/>
  <c r="K42" i="4"/>
  <c r="M42" i="8" s="1"/>
  <c r="K43" i="4"/>
  <c r="M43" i="8" s="1"/>
  <c r="K44" i="4"/>
  <c r="M44" i="8" s="1"/>
  <c r="K45" i="4"/>
  <c r="M45" i="8" s="1"/>
  <c r="K46" i="4"/>
  <c r="M46" i="8" s="1"/>
  <c r="K47" i="4"/>
  <c r="M47" i="8" s="1"/>
  <c r="K48" i="4"/>
  <c r="M48" i="8" s="1"/>
  <c r="K49" i="4"/>
  <c r="M49" i="8" s="1"/>
  <c r="K50" i="4"/>
  <c r="M50" i="8" s="1"/>
  <c r="K51" i="4"/>
  <c r="M51" i="8" s="1"/>
  <c r="K52" i="4"/>
  <c r="M52" i="8" s="1"/>
  <c r="K53" i="4"/>
  <c r="M53" i="8" s="1"/>
  <c r="K54" i="4"/>
  <c r="M54" i="8" s="1"/>
  <c r="K55" i="4"/>
  <c r="M55" i="8" s="1"/>
  <c r="K56" i="4"/>
  <c r="M56" i="8" s="1"/>
  <c r="K57" i="4"/>
  <c r="M57" i="8" s="1"/>
  <c r="K58" i="4"/>
  <c r="M58" i="8" s="1"/>
  <c r="K59" i="4"/>
  <c r="M59" i="8" s="1"/>
  <c r="K60" i="4"/>
  <c r="M60" i="8" s="1"/>
  <c r="K61" i="4"/>
  <c r="M61" i="8" s="1"/>
  <c r="K62" i="4"/>
  <c r="M62" i="8" s="1"/>
  <c r="K63" i="4"/>
  <c r="M63" i="8" s="1"/>
  <c r="K64" i="4"/>
  <c r="M64" i="8" s="1"/>
  <c r="K65" i="4"/>
  <c r="M65" i="8" s="1"/>
  <c r="K66" i="4"/>
  <c r="M66" i="8" s="1"/>
  <c r="K67" i="4"/>
  <c r="M67" i="8" s="1"/>
  <c r="K68" i="4"/>
  <c r="M68" i="8" s="1"/>
  <c r="K69" i="4"/>
  <c r="M69" i="8" s="1"/>
  <c r="K70" i="4"/>
  <c r="M70" i="8" s="1"/>
  <c r="K71" i="4"/>
  <c r="M71" i="8" s="1"/>
  <c r="K72" i="4"/>
  <c r="M72" i="8" s="1"/>
  <c r="K73" i="4"/>
  <c r="M73" i="8" s="1"/>
  <c r="K74" i="4"/>
  <c r="M74" i="8" s="1"/>
  <c r="K75" i="4"/>
  <c r="M75" i="8" s="1"/>
  <c r="K76" i="4"/>
  <c r="M76" i="8" s="1"/>
  <c r="K77" i="4"/>
  <c r="M77" i="8" s="1"/>
  <c r="K78" i="4"/>
  <c r="M78" i="8" s="1"/>
  <c r="K79" i="4"/>
  <c r="M79" i="8" s="1"/>
  <c r="K80" i="4"/>
  <c r="M80" i="8" s="1"/>
  <c r="K81" i="4"/>
  <c r="M81" i="8" s="1"/>
  <c r="K82" i="4"/>
  <c r="M82" i="8" s="1"/>
  <c r="K83" i="4"/>
  <c r="M83" i="8" s="1"/>
  <c r="K84" i="4"/>
  <c r="M84" i="8" s="1"/>
  <c r="K85" i="4"/>
  <c r="M85" i="8" s="1"/>
  <c r="K86" i="4"/>
  <c r="M86" i="8" s="1"/>
  <c r="K87" i="4"/>
  <c r="M87" i="8" s="1"/>
  <c r="K88" i="4"/>
  <c r="M88" i="8" s="1"/>
  <c r="K89" i="4"/>
  <c r="M89" i="8" s="1"/>
  <c r="K90" i="4"/>
  <c r="M90" i="8" s="1"/>
  <c r="K91" i="4"/>
  <c r="M91" i="8" s="1"/>
  <c r="K92" i="4"/>
  <c r="M92" i="8" s="1"/>
  <c r="K93" i="4"/>
  <c r="M93" i="8" s="1"/>
  <c r="K94" i="4"/>
  <c r="M94" i="8" s="1"/>
  <c r="K95" i="4"/>
  <c r="M95" i="8" s="1"/>
  <c r="K96" i="4"/>
  <c r="M96" i="8" s="1"/>
  <c r="K97" i="4"/>
  <c r="M97" i="8" s="1"/>
  <c r="K98" i="4"/>
  <c r="M98" i="8" s="1"/>
  <c r="K99" i="4"/>
  <c r="M99" i="8" s="1"/>
  <c r="K100" i="4"/>
  <c r="M100" i="8" s="1"/>
  <c r="K101" i="4"/>
  <c r="M101" i="8" s="1"/>
  <c r="K102" i="4"/>
  <c r="M102" i="8" s="1"/>
  <c r="K103" i="4"/>
  <c r="M103" i="8" s="1"/>
  <c r="K104" i="4"/>
  <c r="M104" i="8" s="1"/>
  <c r="K105" i="4"/>
  <c r="M105" i="8" s="1"/>
  <c r="K106" i="4"/>
  <c r="M106" i="8" s="1"/>
  <c r="K107" i="4"/>
  <c r="M107" i="8" s="1"/>
  <c r="K108" i="4"/>
  <c r="M108" i="8" s="1"/>
  <c r="K109" i="4"/>
  <c r="M109" i="8" s="1"/>
  <c r="K110" i="4"/>
  <c r="M110" i="8" s="1"/>
  <c r="K111" i="4"/>
  <c r="M111" i="8" s="1"/>
  <c r="K112" i="4"/>
  <c r="M112" i="8" s="1"/>
  <c r="K113" i="4"/>
  <c r="M113" i="8" s="1"/>
  <c r="K114" i="4"/>
  <c r="M114" i="8" s="1"/>
  <c r="K115" i="4"/>
  <c r="M115" i="8" s="1"/>
  <c r="K116" i="4"/>
  <c r="M116" i="8" s="1"/>
  <c r="K117" i="4"/>
  <c r="M117" i="8" s="1"/>
  <c r="K118" i="4"/>
  <c r="M118" i="8" s="1"/>
  <c r="K119" i="4"/>
  <c r="M119" i="8" s="1"/>
  <c r="K120" i="4"/>
  <c r="M120" i="8" s="1"/>
  <c r="K121" i="4"/>
  <c r="M121" i="8" s="1"/>
  <c r="K122" i="4"/>
  <c r="M122" i="8" s="1"/>
  <c r="K123" i="4"/>
  <c r="M123" i="8" s="1"/>
  <c r="K124" i="4"/>
  <c r="M124" i="8" s="1"/>
  <c r="K125" i="4"/>
  <c r="M125" i="8" s="1"/>
  <c r="K126" i="4"/>
  <c r="M126" i="8" s="1"/>
  <c r="K127" i="4"/>
  <c r="M127" i="8" s="1"/>
  <c r="K128" i="4"/>
  <c r="M128" i="8" s="1"/>
  <c r="K129" i="4"/>
  <c r="M129" i="8" s="1"/>
  <c r="K130" i="4"/>
  <c r="M130" i="8" s="1"/>
  <c r="K131" i="4"/>
  <c r="M131" i="8" s="1"/>
  <c r="K132" i="4"/>
  <c r="M132" i="8" s="1"/>
  <c r="K133" i="4"/>
  <c r="M133" i="8" s="1"/>
  <c r="K134" i="4"/>
  <c r="M134" i="8" s="1"/>
  <c r="K135" i="4"/>
  <c r="M135" i="8" s="1"/>
  <c r="K136" i="4"/>
  <c r="M136" i="8" s="1"/>
  <c r="K137" i="4"/>
  <c r="M137" i="8" s="1"/>
  <c r="K138" i="4"/>
  <c r="M138" i="8" s="1"/>
  <c r="K139" i="4"/>
  <c r="M139" i="8" s="1"/>
  <c r="K140" i="4"/>
  <c r="M140" i="8" s="1"/>
  <c r="K141" i="4"/>
  <c r="M141" i="8" s="1"/>
  <c r="K142" i="4"/>
  <c r="M142" i="8" s="1"/>
  <c r="K143" i="4"/>
  <c r="M143" i="8" s="1"/>
  <c r="K144" i="4"/>
  <c r="M144" i="8" s="1"/>
  <c r="K145" i="4"/>
  <c r="M145" i="8" s="1"/>
  <c r="K146" i="4"/>
  <c r="M146" i="8" s="1"/>
  <c r="K147" i="4"/>
  <c r="M147" i="8" s="1"/>
  <c r="K148" i="4"/>
  <c r="M148" i="8" s="1"/>
  <c r="K149" i="4"/>
  <c r="M149" i="8" s="1"/>
  <c r="K150" i="4"/>
  <c r="M150" i="8" s="1"/>
  <c r="K151" i="4"/>
  <c r="M151" i="8" s="1"/>
  <c r="K152" i="4"/>
  <c r="M152" i="8" s="1"/>
  <c r="K153" i="4"/>
  <c r="M153" i="8" s="1"/>
  <c r="K154" i="4"/>
  <c r="M154" i="8" s="1"/>
  <c r="K155" i="4"/>
  <c r="M155" i="8" s="1"/>
  <c r="K156" i="4"/>
  <c r="M156" i="8" s="1"/>
  <c r="K157" i="4"/>
  <c r="M157" i="8" s="1"/>
  <c r="K158" i="4"/>
  <c r="M158" i="8" s="1"/>
  <c r="K159" i="4"/>
  <c r="M159" i="8" s="1"/>
  <c r="K160" i="4"/>
  <c r="M160" i="8" s="1"/>
  <c r="K161" i="4"/>
  <c r="M161" i="8" s="1"/>
  <c r="K162" i="4"/>
  <c r="M162" i="8" s="1"/>
  <c r="K163" i="4"/>
  <c r="M163" i="8" s="1"/>
  <c r="K164" i="4"/>
  <c r="M164" i="8" s="1"/>
  <c r="K165" i="4"/>
  <c r="M165" i="8" s="1"/>
  <c r="K166" i="4"/>
  <c r="M166" i="8" s="1"/>
  <c r="K167" i="4"/>
  <c r="M167" i="8" s="1"/>
  <c r="K168" i="4"/>
  <c r="M168" i="8" s="1"/>
  <c r="K169" i="4"/>
  <c r="M169" i="8" s="1"/>
  <c r="K170" i="4"/>
  <c r="M170" i="8" s="1"/>
  <c r="K171" i="4"/>
  <c r="M171" i="8" s="1"/>
  <c r="K172" i="4"/>
  <c r="M172" i="8" s="1"/>
  <c r="K173" i="4"/>
  <c r="M173" i="8" s="1"/>
  <c r="K174" i="4"/>
  <c r="M174" i="8" s="1"/>
  <c r="K175" i="4"/>
  <c r="M175" i="8" s="1"/>
  <c r="K176" i="4"/>
  <c r="M176" i="8" s="1"/>
  <c r="K177" i="4"/>
  <c r="M177" i="8" s="1"/>
  <c r="K178" i="4"/>
  <c r="M178" i="8" s="1"/>
  <c r="K179" i="4"/>
  <c r="M179" i="8" s="1"/>
  <c r="K180" i="4"/>
  <c r="M180" i="8" s="1"/>
  <c r="K181" i="4"/>
  <c r="M181" i="8" s="1"/>
  <c r="K182" i="4"/>
  <c r="M182" i="8" s="1"/>
  <c r="K183" i="4"/>
  <c r="M183" i="8" s="1"/>
  <c r="K184" i="4"/>
  <c r="M184" i="8" s="1"/>
  <c r="K185" i="4"/>
  <c r="M185" i="8" s="1"/>
  <c r="K186" i="4"/>
  <c r="M186" i="8" s="1"/>
  <c r="K187" i="4"/>
  <c r="M187" i="8" s="1"/>
  <c r="K188" i="4"/>
  <c r="M188" i="8" s="1"/>
  <c r="K189" i="4"/>
  <c r="M189" i="8" s="1"/>
  <c r="K190" i="4"/>
  <c r="M190" i="8" s="1"/>
  <c r="K191" i="4"/>
  <c r="M191" i="8" s="1"/>
  <c r="K192" i="4"/>
  <c r="M192" i="8" s="1"/>
  <c r="K193" i="4"/>
  <c r="M193" i="8" s="1"/>
  <c r="K194" i="4"/>
  <c r="M194" i="8" s="1"/>
  <c r="K195" i="4"/>
  <c r="M195" i="8" s="1"/>
  <c r="K196" i="4"/>
  <c r="M196" i="8" s="1"/>
  <c r="K197" i="4"/>
  <c r="M197" i="8" s="1"/>
  <c r="K198" i="4"/>
  <c r="M198" i="8" s="1"/>
  <c r="K199" i="4"/>
  <c r="M199" i="8" s="1"/>
  <c r="K200" i="4"/>
  <c r="M200" i="8" s="1"/>
  <c r="K201" i="4"/>
  <c r="M201" i="8" s="1"/>
  <c r="K202" i="4"/>
  <c r="M202" i="8" s="1"/>
  <c r="K203" i="4"/>
  <c r="M203" i="8" s="1"/>
  <c r="K204" i="4"/>
  <c r="M204" i="8" s="1"/>
  <c r="K205" i="4"/>
  <c r="M205" i="8" s="1"/>
  <c r="K206" i="4"/>
  <c r="M206" i="8" s="1"/>
  <c r="K207" i="4"/>
  <c r="M207" i="8" s="1"/>
  <c r="K208" i="4"/>
  <c r="M208" i="8" s="1"/>
  <c r="K209" i="4"/>
  <c r="M209" i="8" s="1"/>
  <c r="K210" i="4"/>
  <c r="M210" i="8" s="1"/>
  <c r="K211" i="4"/>
  <c r="M211" i="8" s="1"/>
  <c r="K212" i="4"/>
  <c r="M212" i="8" s="1"/>
  <c r="K213" i="4"/>
  <c r="M213" i="8" s="1"/>
  <c r="K214" i="4"/>
  <c r="M214" i="8" s="1"/>
  <c r="K215" i="4"/>
  <c r="M215" i="8" s="1"/>
  <c r="K216" i="4"/>
  <c r="M216" i="8" s="1"/>
  <c r="K217" i="4"/>
  <c r="M217" i="8" s="1"/>
  <c r="K218" i="4"/>
  <c r="M218" i="8" s="1"/>
  <c r="K219" i="4"/>
  <c r="M219" i="8" s="1"/>
  <c r="K220" i="4"/>
  <c r="M220" i="8" s="1"/>
  <c r="K221" i="4"/>
  <c r="M221" i="8" s="1"/>
  <c r="K222" i="4"/>
  <c r="M222" i="8" s="1"/>
  <c r="K223" i="4"/>
  <c r="M223" i="8" s="1"/>
  <c r="K224" i="4"/>
  <c r="M224" i="8" s="1"/>
  <c r="K225" i="4"/>
  <c r="M225" i="8" s="1"/>
  <c r="K226" i="4"/>
  <c r="M226" i="8" s="1"/>
  <c r="K227" i="4"/>
  <c r="M227" i="8" s="1"/>
  <c r="K228" i="4"/>
  <c r="M228" i="8" s="1"/>
  <c r="K229" i="4"/>
  <c r="M229" i="8" s="1"/>
  <c r="K230" i="4"/>
  <c r="M230" i="8" s="1"/>
  <c r="K231" i="4"/>
  <c r="M231" i="8" s="1"/>
  <c r="K232" i="4"/>
  <c r="M232" i="8" s="1"/>
  <c r="K233" i="4"/>
  <c r="M233" i="8" s="1"/>
  <c r="K234" i="4"/>
  <c r="M234" i="8" s="1"/>
  <c r="K235" i="4"/>
  <c r="M235" i="8" s="1"/>
  <c r="K236" i="4"/>
  <c r="M236" i="8" s="1"/>
  <c r="K237" i="4"/>
  <c r="M237" i="8" s="1"/>
  <c r="K238" i="4"/>
  <c r="M238" i="8" s="1"/>
  <c r="K239" i="4"/>
  <c r="M239" i="8" s="1"/>
  <c r="K240" i="4"/>
  <c r="M240" i="8" s="1"/>
  <c r="K241" i="4"/>
  <c r="M241" i="8" s="1"/>
  <c r="K242" i="4"/>
  <c r="M242" i="8" s="1"/>
  <c r="K243" i="4"/>
  <c r="M243" i="8" s="1"/>
  <c r="K244" i="4"/>
  <c r="M244" i="8" s="1"/>
  <c r="K245" i="4"/>
  <c r="M245" i="8" s="1"/>
  <c r="K246" i="4"/>
  <c r="M246" i="8" s="1"/>
  <c r="K247" i="4"/>
  <c r="M247" i="8" s="1"/>
  <c r="K248" i="4"/>
  <c r="M248" i="8" s="1"/>
  <c r="K249" i="4"/>
  <c r="M249" i="8" s="1"/>
  <c r="K250" i="4"/>
  <c r="M250" i="8" s="1"/>
  <c r="K251" i="4"/>
  <c r="M251" i="8" s="1"/>
  <c r="K252" i="4"/>
  <c r="M252" i="8" s="1"/>
  <c r="K253" i="4"/>
  <c r="M253" i="8" s="1"/>
  <c r="K254" i="4"/>
  <c r="M254" i="8" s="1"/>
  <c r="K255" i="4"/>
  <c r="M255" i="8" s="1"/>
  <c r="K256" i="4"/>
  <c r="M256" i="8" s="1"/>
  <c r="K257" i="4"/>
  <c r="M257" i="8" s="1"/>
  <c r="K258" i="4"/>
  <c r="M258" i="8" s="1"/>
  <c r="K259" i="4"/>
  <c r="M259" i="8" s="1"/>
  <c r="K260" i="4"/>
  <c r="M260" i="8" s="1"/>
  <c r="K261" i="4"/>
  <c r="M261" i="8" s="1"/>
  <c r="K262" i="4"/>
  <c r="M262" i="8" s="1"/>
  <c r="K263" i="4"/>
  <c r="M263" i="8" s="1"/>
  <c r="K264" i="4"/>
  <c r="M264" i="8" s="1"/>
  <c r="K265" i="4"/>
  <c r="M265" i="8" s="1"/>
  <c r="K266" i="4"/>
  <c r="M266" i="8" s="1"/>
  <c r="K267" i="4"/>
  <c r="M267" i="8" s="1"/>
  <c r="K268" i="4"/>
  <c r="M268" i="8" s="1"/>
  <c r="K269" i="4"/>
  <c r="M269" i="8" s="1"/>
  <c r="K270" i="4"/>
  <c r="M270" i="8" s="1"/>
  <c r="K271" i="4"/>
  <c r="M271" i="8" s="1"/>
  <c r="K272" i="4"/>
  <c r="M272" i="8" s="1"/>
  <c r="K273" i="4"/>
  <c r="M273" i="8" s="1"/>
  <c r="K274" i="4"/>
  <c r="M274" i="8" s="1"/>
  <c r="K275" i="4"/>
  <c r="M275" i="8" s="1"/>
  <c r="K276" i="4"/>
  <c r="M276" i="8" s="1"/>
  <c r="K277" i="4"/>
  <c r="M277" i="8" s="1"/>
  <c r="K278" i="4"/>
  <c r="M278" i="8" s="1"/>
  <c r="K279" i="4"/>
  <c r="M279" i="8" s="1"/>
  <c r="K280" i="4"/>
  <c r="M280" i="8" s="1"/>
  <c r="K281" i="4"/>
  <c r="M281" i="8" s="1"/>
  <c r="K282" i="4"/>
  <c r="M282" i="8" s="1"/>
  <c r="K283" i="4"/>
  <c r="M283" i="8" s="1"/>
  <c r="K284" i="4"/>
  <c r="M284" i="8" s="1"/>
  <c r="K285" i="4"/>
  <c r="M285" i="8" s="1"/>
  <c r="K286" i="4"/>
  <c r="M286" i="8" s="1"/>
  <c r="K287" i="4"/>
  <c r="M287" i="8" s="1"/>
  <c r="K288" i="4"/>
  <c r="M288" i="8" s="1"/>
  <c r="K289" i="4"/>
  <c r="M289" i="8" s="1"/>
  <c r="K290" i="4"/>
  <c r="M290" i="8" s="1"/>
  <c r="K291" i="4"/>
  <c r="M291" i="8" s="1"/>
  <c r="K292" i="4"/>
  <c r="M292" i="8" s="1"/>
  <c r="K293" i="4"/>
  <c r="M293" i="8" s="1"/>
  <c r="K294" i="4"/>
  <c r="M294" i="8" s="1"/>
  <c r="K295" i="4"/>
  <c r="M295" i="8" s="1"/>
  <c r="K296" i="4"/>
  <c r="M296" i="8" s="1"/>
  <c r="K297" i="4"/>
  <c r="M297" i="8" s="1"/>
  <c r="K298" i="4"/>
  <c r="M298" i="8" s="1"/>
  <c r="K299" i="4"/>
  <c r="M299" i="8" s="1"/>
  <c r="K300" i="4"/>
  <c r="M300" i="8" s="1"/>
  <c r="K301" i="4"/>
  <c r="M301" i="8" s="1"/>
  <c r="K302" i="4"/>
  <c r="M302" i="8" s="1"/>
  <c r="K303" i="4"/>
  <c r="M303" i="8" s="1"/>
  <c r="K304" i="4"/>
  <c r="M304" i="8" s="1"/>
  <c r="K305" i="4"/>
  <c r="M305" i="8" s="1"/>
  <c r="K306" i="4"/>
  <c r="M306" i="8" s="1"/>
  <c r="K307" i="4"/>
  <c r="M307" i="8" s="1"/>
  <c r="K308" i="4"/>
  <c r="M308" i="8" s="1"/>
  <c r="K309" i="4"/>
  <c r="M309" i="8" s="1"/>
  <c r="K310" i="4"/>
  <c r="M310" i="8" s="1"/>
  <c r="K311" i="4"/>
  <c r="M311" i="8" s="1"/>
  <c r="K312" i="4"/>
  <c r="M312" i="8" s="1"/>
  <c r="K313" i="4"/>
  <c r="M313" i="8" s="1"/>
  <c r="K314" i="4"/>
  <c r="M314" i="8" s="1"/>
  <c r="K315" i="4"/>
  <c r="M315" i="8" s="1"/>
  <c r="K316" i="4"/>
  <c r="M316" i="8" s="1"/>
  <c r="K317" i="4"/>
  <c r="M317" i="8" s="1"/>
  <c r="K318" i="4"/>
  <c r="M318" i="8" s="1"/>
  <c r="K319" i="4"/>
  <c r="M319" i="8" s="1"/>
  <c r="K320" i="4"/>
  <c r="M320" i="8" s="1"/>
  <c r="K321" i="4"/>
  <c r="M321" i="8" s="1"/>
  <c r="K2" i="4"/>
  <c r="M2" i="8" s="1"/>
  <c r="J3" i="4"/>
  <c r="L3" i="8" s="1"/>
  <c r="J4" i="4"/>
  <c r="L4" i="8" s="1"/>
  <c r="J5" i="4"/>
  <c r="L5" i="8" s="1"/>
  <c r="J6" i="4"/>
  <c r="L6" i="8" s="1"/>
  <c r="J7" i="4"/>
  <c r="L7" i="8" s="1"/>
  <c r="J8" i="4"/>
  <c r="L8" i="8" s="1"/>
  <c r="J9" i="4"/>
  <c r="L9" i="8" s="1"/>
  <c r="J10" i="4"/>
  <c r="L10" i="8" s="1"/>
  <c r="J11" i="4"/>
  <c r="L11" i="8" s="1"/>
  <c r="J12" i="4"/>
  <c r="L12" i="8" s="1"/>
  <c r="J13" i="4"/>
  <c r="L13" i="8" s="1"/>
  <c r="J14" i="4"/>
  <c r="L14" i="8" s="1"/>
  <c r="J15" i="4"/>
  <c r="L15" i="8" s="1"/>
  <c r="J16" i="4"/>
  <c r="L16" i="8" s="1"/>
  <c r="J17" i="4"/>
  <c r="L17" i="8" s="1"/>
  <c r="J18" i="4"/>
  <c r="L18" i="8" s="1"/>
  <c r="J19" i="4"/>
  <c r="L19" i="8" s="1"/>
  <c r="J20" i="4"/>
  <c r="L20" i="8" s="1"/>
  <c r="J21" i="4"/>
  <c r="L21" i="8" s="1"/>
  <c r="J22" i="4"/>
  <c r="L22" i="8" s="1"/>
  <c r="J23" i="4"/>
  <c r="L23" i="8" s="1"/>
  <c r="J24" i="4"/>
  <c r="L24" i="8" s="1"/>
  <c r="J25" i="4"/>
  <c r="L25" i="8" s="1"/>
  <c r="J26" i="4"/>
  <c r="L26" i="8" s="1"/>
  <c r="J27" i="4"/>
  <c r="L27" i="8" s="1"/>
  <c r="J28" i="4"/>
  <c r="L28" i="8" s="1"/>
  <c r="J29" i="4"/>
  <c r="L29" i="8" s="1"/>
  <c r="J30" i="4"/>
  <c r="L30" i="8" s="1"/>
  <c r="J31" i="4"/>
  <c r="L31" i="8" s="1"/>
  <c r="J32" i="4"/>
  <c r="L32" i="8" s="1"/>
  <c r="J33" i="4"/>
  <c r="L33" i="8" s="1"/>
  <c r="J34" i="4"/>
  <c r="L34" i="8" s="1"/>
  <c r="J35" i="4"/>
  <c r="L35" i="8" s="1"/>
  <c r="J36" i="4"/>
  <c r="L36" i="8" s="1"/>
  <c r="J37" i="4"/>
  <c r="L37" i="8" s="1"/>
  <c r="J38" i="4"/>
  <c r="L38" i="8" s="1"/>
  <c r="J39" i="4"/>
  <c r="L39" i="8" s="1"/>
  <c r="J40" i="4"/>
  <c r="L40" i="8" s="1"/>
  <c r="J41" i="4"/>
  <c r="L41" i="8" s="1"/>
  <c r="J42" i="4"/>
  <c r="L42" i="8" s="1"/>
  <c r="J43" i="4"/>
  <c r="L43" i="8" s="1"/>
  <c r="J44" i="4"/>
  <c r="L44" i="8" s="1"/>
  <c r="J45" i="4"/>
  <c r="L45" i="8" s="1"/>
  <c r="J46" i="4"/>
  <c r="L46" i="8" s="1"/>
  <c r="J47" i="4"/>
  <c r="L47" i="8" s="1"/>
  <c r="J48" i="4"/>
  <c r="L48" i="8" s="1"/>
  <c r="J49" i="4"/>
  <c r="L49" i="8" s="1"/>
  <c r="J50" i="4"/>
  <c r="L50" i="8" s="1"/>
  <c r="J51" i="4"/>
  <c r="L51" i="8" s="1"/>
  <c r="J52" i="4"/>
  <c r="L52" i="8" s="1"/>
  <c r="J53" i="4"/>
  <c r="L53" i="8" s="1"/>
  <c r="J54" i="4"/>
  <c r="L54" i="8" s="1"/>
  <c r="J55" i="4"/>
  <c r="L55" i="8" s="1"/>
  <c r="J56" i="4"/>
  <c r="L56" i="8" s="1"/>
  <c r="J57" i="4"/>
  <c r="L57" i="8" s="1"/>
  <c r="J58" i="4"/>
  <c r="L58" i="8" s="1"/>
  <c r="J59" i="4"/>
  <c r="L59" i="8" s="1"/>
  <c r="J60" i="4"/>
  <c r="L60" i="8" s="1"/>
  <c r="J61" i="4"/>
  <c r="L61" i="8" s="1"/>
  <c r="J62" i="4"/>
  <c r="L62" i="8" s="1"/>
  <c r="J63" i="4"/>
  <c r="L63" i="8" s="1"/>
  <c r="J64" i="4"/>
  <c r="L64" i="8" s="1"/>
  <c r="J65" i="4"/>
  <c r="L65" i="8" s="1"/>
  <c r="J66" i="4"/>
  <c r="L66" i="8" s="1"/>
  <c r="J67" i="4"/>
  <c r="L67" i="8" s="1"/>
  <c r="J68" i="4"/>
  <c r="L68" i="8" s="1"/>
  <c r="J69" i="4"/>
  <c r="L69" i="8" s="1"/>
  <c r="J70" i="4"/>
  <c r="L70" i="8" s="1"/>
  <c r="J71" i="4"/>
  <c r="L71" i="8" s="1"/>
  <c r="J72" i="4"/>
  <c r="L72" i="8" s="1"/>
  <c r="J73" i="4"/>
  <c r="L73" i="8" s="1"/>
  <c r="J74" i="4"/>
  <c r="L74" i="8" s="1"/>
  <c r="J75" i="4"/>
  <c r="L75" i="8" s="1"/>
  <c r="J76" i="4"/>
  <c r="L76" i="8" s="1"/>
  <c r="J77" i="4"/>
  <c r="L77" i="8" s="1"/>
  <c r="J78" i="4"/>
  <c r="L78" i="8" s="1"/>
  <c r="J79" i="4"/>
  <c r="L79" i="8" s="1"/>
  <c r="J80" i="4"/>
  <c r="L80" i="8" s="1"/>
  <c r="J81" i="4"/>
  <c r="L81" i="8" s="1"/>
  <c r="J82" i="4"/>
  <c r="L82" i="8" s="1"/>
  <c r="J83" i="4"/>
  <c r="L83" i="8" s="1"/>
  <c r="J84" i="4"/>
  <c r="L84" i="8" s="1"/>
  <c r="J85" i="4"/>
  <c r="L85" i="8" s="1"/>
  <c r="J86" i="4"/>
  <c r="L86" i="8" s="1"/>
  <c r="J87" i="4"/>
  <c r="L87" i="8" s="1"/>
  <c r="J88" i="4"/>
  <c r="L88" i="8" s="1"/>
  <c r="J89" i="4"/>
  <c r="L89" i="8" s="1"/>
  <c r="J90" i="4"/>
  <c r="L90" i="8" s="1"/>
  <c r="J91" i="4"/>
  <c r="L91" i="8" s="1"/>
  <c r="J92" i="4"/>
  <c r="L92" i="8" s="1"/>
  <c r="J93" i="4"/>
  <c r="L93" i="8" s="1"/>
  <c r="J94" i="4"/>
  <c r="L94" i="8" s="1"/>
  <c r="J95" i="4"/>
  <c r="L95" i="8" s="1"/>
  <c r="J96" i="4"/>
  <c r="L96" i="8" s="1"/>
  <c r="J97" i="4"/>
  <c r="L97" i="8" s="1"/>
  <c r="J98" i="4"/>
  <c r="L98" i="8" s="1"/>
  <c r="J99" i="4"/>
  <c r="L99" i="8" s="1"/>
  <c r="J100" i="4"/>
  <c r="L100" i="8" s="1"/>
  <c r="J101" i="4"/>
  <c r="L101" i="8" s="1"/>
  <c r="J102" i="4"/>
  <c r="L102" i="8" s="1"/>
  <c r="J103" i="4"/>
  <c r="L103" i="8" s="1"/>
  <c r="J104" i="4"/>
  <c r="L104" i="8" s="1"/>
  <c r="J105" i="4"/>
  <c r="L105" i="8" s="1"/>
  <c r="J106" i="4"/>
  <c r="L106" i="8" s="1"/>
  <c r="J107" i="4"/>
  <c r="L107" i="8" s="1"/>
  <c r="J108" i="4"/>
  <c r="L108" i="8" s="1"/>
  <c r="J109" i="4"/>
  <c r="L109" i="8" s="1"/>
  <c r="J110" i="4"/>
  <c r="L110" i="8" s="1"/>
  <c r="J111" i="4"/>
  <c r="L111" i="8" s="1"/>
  <c r="J112" i="4"/>
  <c r="L112" i="8" s="1"/>
  <c r="J113" i="4"/>
  <c r="L113" i="8" s="1"/>
  <c r="J114" i="4"/>
  <c r="L114" i="8" s="1"/>
  <c r="J115" i="4"/>
  <c r="L115" i="8" s="1"/>
  <c r="J116" i="4"/>
  <c r="L116" i="8" s="1"/>
  <c r="J117" i="4"/>
  <c r="L117" i="8" s="1"/>
  <c r="J118" i="4"/>
  <c r="L118" i="8" s="1"/>
  <c r="J119" i="4"/>
  <c r="L119" i="8" s="1"/>
  <c r="J120" i="4"/>
  <c r="L120" i="8" s="1"/>
  <c r="J121" i="4"/>
  <c r="L121" i="8" s="1"/>
  <c r="J122" i="4"/>
  <c r="L122" i="8" s="1"/>
  <c r="J123" i="4"/>
  <c r="L123" i="8" s="1"/>
  <c r="J124" i="4"/>
  <c r="L124" i="8" s="1"/>
  <c r="J125" i="4"/>
  <c r="L125" i="8" s="1"/>
  <c r="J126" i="4"/>
  <c r="L126" i="8" s="1"/>
  <c r="J127" i="4"/>
  <c r="L127" i="8" s="1"/>
  <c r="J128" i="4"/>
  <c r="L128" i="8" s="1"/>
  <c r="J129" i="4"/>
  <c r="L129" i="8" s="1"/>
  <c r="J130" i="4"/>
  <c r="L130" i="8" s="1"/>
  <c r="J131" i="4"/>
  <c r="L131" i="8" s="1"/>
  <c r="J132" i="4"/>
  <c r="L132" i="8" s="1"/>
  <c r="J133" i="4"/>
  <c r="L133" i="8" s="1"/>
  <c r="J134" i="4"/>
  <c r="L134" i="8" s="1"/>
  <c r="J135" i="4"/>
  <c r="L135" i="8" s="1"/>
  <c r="J136" i="4"/>
  <c r="L136" i="8" s="1"/>
  <c r="J137" i="4"/>
  <c r="L137" i="8" s="1"/>
  <c r="J138" i="4"/>
  <c r="L138" i="8" s="1"/>
  <c r="J139" i="4"/>
  <c r="L139" i="8" s="1"/>
  <c r="J140" i="4"/>
  <c r="L140" i="8" s="1"/>
  <c r="J141" i="4"/>
  <c r="L141" i="8" s="1"/>
  <c r="J142" i="4"/>
  <c r="L142" i="8" s="1"/>
  <c r="J143" i="4"/>
  <c r="L143" i="8" s="1"/>
  <c r="J144" i="4"/>
  <c r="L144" i="8" s="1"/>
  <c r="J145" i="4"/>
  <c r="L145" i="8" s="1"/>
  <c r="J146" i="4"/>
  <c r="L146" i="8" s="1"/>
  <c r="J147" i="4"/>
  <c r="L147" i="8" s="1"/>
  <c r="J148" i="4"/>
  <c r="L148" i="8" s="1"/>
  <c r="J149" i="4"/>
  <c r="L149" i="8" s="1"/>
  <c r="J150" i="4"/>
  <c r="L150" i="8" s="1"/>
  <c r="J151" i="4"/>
  <c r="L151" i="8" s="1"/>
  <c r="J152" i="4"/>
  <c r="L152" i="8" s="1"/>
  <c r="J153" i="4"/>
  <c r="L153" i="8" s="1"/>
  <c r="J154" i="4"/>
  <c r="L154" i="8" s="1"/>
  <c r="J155" i="4"/>
  <c r="L155" i="8" s="1"/>
  <c r="J156" i="4"/>
  <c r="L156" i="8" s="1"/>
  <c r="J157" i="4"/>
  <c r="L157" i="8" s="1"/>
  <c r="J158" i="4"/>
  <c r="L158" i="8" s="1"/>
  <c r="J159" i="4"/>
  <c r="L159" i="8" s="1"/>
  <c r="J160" i="4"/>
  <c r="L160" i="8" s="1"/>
  <c r="J161" i="4"/>
  <c r="L161" i="8" s="1"/>
  <c r="J162" i="4"/>
  <c r="L162" i="8" s="1"/>
  <c r="J163" i="4"/>
  <c r="L163" i="8" s="1"/>
  <c r="J164" i="4"/>
  <c r="L164" i="8" s="1"/>
  <c r="J165" i="4"/>
  <c r="L165" i="8" s="1"/>
  <c r="J166" i="4"/>
  <c r="L166" i="8" s="1"/>
  <c r="J167" i="4"/>
  <c r="L167" i="8" s="1"/>
  <c r="J168" i="4"/>
  <c r="L168" i="8" s="1"/>
  <c r="J169" i="4"/>
  <c r="L169" i="8" s="1"/>
  <c r="J170" i="4"/>
  <c r="L170" i="8" s="1"/>
  <c r="J171" i="4"/>
  <c r="L171" i="8" s="1"/>
  <c r="J172" i="4"/>
  <c r="L172" i="8" s="1"/>
  <c r="J173" i="4"/>
  <c r="L173" i="8" s="1"/>
  <c r="J174" i="4"/>
  <c r="L174" i="8" s="1"/>
  <c r="J175" i="4"/>
  <c r="L175" i="8" s="1"/>
  <c r="J176" i="4"/>
  <c r="L176" i="8" s="1"/>
  <c r="J177" i="4"/>
  <c r="L177" i="8" s="1"/>
  <c r="J178" i="4"/>
  <c r="L178" i="8" s="1"/>
  <c r="J179" i="4"/>
  <c r="L179" i="8" s="1"/>
  <c r="J180" i="4"/>
  <c r="L180" i="8" s="1"/>
  <c r="J181" i="4"/>
  <c r="L181" i="8" s="1"/>
  <c r="J182" i="4"/>
  <c r="L182" i="8" s="1"/>
  <c r="J183" i="4"/>
  <c r="L183" i="8" s="1"/>
  <c r="J184" i="4"/>
  <c r="L184" i="8" s="1"/>
  <c r="J185" i="4"/>
  <c r="L185" i="8" s="1"/>
  <c r="J186" i="4"/>
  <c r="L186" i="8" s="1"/>
  <c r="J187" i="4"/>
  <c r="L187" i="8" s="1"/>
  <c r="J188" i="4"/>
  <c r="L188" i="8" s="1"/>
  <c r="J189" i="4"/>
  <c r="L189" i="8" s="1"/>
  <c r="J190" i="4"/>
  <c r="L190" i="8" s="1"/>
  <c r="J191" i="4"/>
  <c r="L191" i="8" s="1"/>
  <c r="J192" i="4"/>
  <c r="L192" i="8" s="1"/>
  <c r="J193" i="4"/>
  <c r="L193" i="8" s="1"/>
  <c r="J194" i="4"/>
  <c r="L194" i="8" s="1"/>
  <c r="J195" i="4"/>
  <c r="L195" i="8" s="1"/>
  <c r="J196" i="4"/>
  <c r="L196" i="8" s="1"/>
  <c r="J197" i="4"/>
  <c r="L197" i="8" s="1"/>
  <c r="J198" i="4"/>
  <c r="L198" i="8" s="1"/>
  <c r="J199" i="4"/>
  <c r="L199" i="8" s="1"/>
  <c r="J200" i="4"/>
  <c r="L200" i="8" s="1"/>
  <c r="J201" i="4"/>
  <c r="L201" i="8" s="1"/>
  <c r="J202" i="4"/>
  <c r="L202" i="8" s="1"/>
  <c r="J203" i="4"/>
  <c r="L203" i="8" s="1"/>
  <c r="J204" i="4"/>
  <c r="L204" i="8" s="1"/>
  <c r="J205" i="4"/>
  <c r="L205" i="8" s="1"/>
  <c r="J206" i="4"/>
  <c r="L206" i="8" s="1"/>
  <c r="J207" i="4"/>
  <c r="L207" i="8" s="1"/>
  <c r="J208" i="4"/>
  <c r="L208" i="8" s="1"/>
  <c r="J209" i="4"/>
  <c r="L209" i="8" s="1"/>
  <c r="J210" i="4"/>
  <c r="L210" i="8" s="1"/>
  <c r="J211" i="4"/>
  <c r="L211" i="8" s="1"/>
  <c r="J212" i="4"/>
  <c r="L212" i="8" s="1"/>
  <c r="J213" i="4"/>
  <c r="L213" i="8" s="1"/>
  <c r="J214" i="4"/>
  <c r="L214" i="8" s="1"/>
  <c r="J215" i="4"/>
  <c r="L215" i="8" s="1"/>
  <c r="J216" i="4"/>
  <c r="L216" i="8" s="1"/>
  <c r="J217" i="4"/>
  <c r="L217" i="8" s="1"/>
  <c r="J218" i="4"/>
  <c r="L218" i="8" s="1"/>
  <c r="J219" i="4"/>
  <c r="L219" i="8" s="1"/>
  <c r="J220" i="4"/>
  <c r="L220" i="8" s="1"/>
  <c r="J221" i="4"/>
  <c r="L221" i="8" s="1"/>
  <c r="J222" i="4"/>
  <c r="L222" i="8" s="1"/>
  <c r="J223" i="4"/>
  <c r="L223" i="8" s="1"/>
  <c r="J224" i="4"/>
  <c r="L224" i="8" s="1"/>
  <c r="J225" i="4"/>
  <c r="L225" i="8" s="1"/>
  <c r="J226" i="4"/>
  <c r="L226" i="8" s="1"/>
  <c r="J227" i="4"/>
  <c r="L227" i="8" s="1"/>
  <c r="J228" i="4"/>
  <c r="L228" i="8" s="1"/>
  <c r="J229" i="4"/>
  <c r="L229" i="8" s="1"/>
  <c r="J230" i="4"/>
  <c r="L230" i="8" s="1"/>
  <c r="J231" i="4"/>
  <c r="L231" i="8" s="1"/>
  <c r="J232" i="4"/>
  <c r="L232" i="8" s="1"/>
  <c r="J233" i="4"/>
  <c r="L233" i="8" s="1"/>
  <c r="J234" i="4"/>
  <c r="L234" i="8" s="1"/>
  <c r="J235" i="4"/>
  <c r="L235" i="8" s="1"/>
  <c r="J236" i="4"/>
  <c r="L236" i="8" s="1"/>
  <c r="J237" i="4"/>
  <c r="L237" i="8" s="1"/>
  <c r="J238" i="4"/>
  <c r="L238" i="8" s="1"/>
  <c r="J239" i="4"/>
  <c r="L239" i="8" s="1"/>
  <c r="J240" i="4"/>
  <c r="L240" i="8" s="1"/>
  <c r="J241" i="4"/>
  <c r="L241" i="8" s="1"/>
  <c r="J242" i="4"/>
  <c r="L242" i="8" s="1"/>
  <c r="J243" i="4"/>
  <c r="L243" i="8" s="1"/>
  <c r="J244" i="4"/>
  <c r="L244" i="8" s="1"/>
  <c r="J245" i="4"/>
  <c r="L245" i="8" s="1"/>
  <c r="J246" i="4"/>
  <c r="L246" i="8" s="1"/>
  <c r="J247" i="4"/>
  <c r="L247" i="8" s="1"/>
  <c r="J248" i="4"/>
  <c r="L248" i="8" s="1"/>
  <c r="J249" i="4"/>
  <c r="L249" i="8" s="1"/>
  <c r="J250" i="4"/>
  <c r="L250" i="8" s="1"/>
  <c r="J251" i="4"/>
  <c r="L251" i="8" s="1"/>
  <c r="J252" i="4"/>
  <c r="L252" i="8" s="1"/>
  <c r="J253" i="4"/>
  <c r="L253" i="8" s="1"/>
  <c r="J254" i="4"/>
  <c r="L254" i="8" s="1"/>
  <c r="J255" i="4"/>
  <c r="L255" i="8" s="1"/>
  <c r="J256" i="4"/>
  <c r="L256" i="8" s="1"/>
  <c r="J257" i="4"/>
  <c r="L257" i="8" s="1"/>
  <c r="J258" i="4"/>
  <c r="L258" i="8" s="1"/>
  <c r="J259" i="4"/>
  <c r="L259" i="8" s="1"/>
  <c r="J260" i="4"/>
  <c r="L260" i="8" s="1"/>
  <c r="J261" i="4"/>
  <c r="L261" i="8" s="1"/>
  <c r="J262" i="4"/>
  <c r="L262" i="8" s="1"/>
  <c r="J263" i="4"/>
  <c r="L263" i="8" s="1"/>
  <c r="J264" i="4"/>
  <c r="L264" i="8" s="1"/>
  <c r="J265" i="4"/>
  <c r="L265" i="8" s="1"/>
  <c r="J266" i="4"/>
  <c r="L266" i="8" s="1"/>
  <c r="J267" i="4"/>
  <c r="L267" i="8" s="1"/>
  <c r="J268" i="4"/>
  <c r="L268" i="8" s="1"/>
  <c r="J269" i="4"/>
  <c r="L269" i="8" s="1"/>
  <c r="J270" i="4"/>
  <c r="L270" i="8" s="1"/>
  <c r="J271" i="4"/>
  <c r="L271" i="8" s="1"/>
  <c r="J272" i="4"/>
  <c r="L272" i="8" s="1"/>
  <c r="J273" i="4"/>
  <c r="L273" i="8" s="1"/>
  <c r="J274" i="4"/>
  <c r="L274" i="8" s="1"/>
  <c r="J275" i="4"/>
  <c r="L275" i="8" s="1"/>
  <c r="J276" i="4"/>
  <c r="L276" i="8" s="1"/>
  <c r="J277" i="4"/>
  <c r="L277" i="8" s="1"/>
  <c r="J278" i="4"/>
  <c r="L278" i="8" s="1"/>
  <c r="J279" i="4"/>
  <c r="L279" i="8" s="1"/>
  <c r="J280" i="4"/>
  <c r="L280" i="8" s="1"/>
  <c r="J281" i="4"/>
  <c r="L281" i="8" s="1"/>
  <c r="J282" i="4"/>
  <c r="L282" i="8" s="1"/>
  <c r="J283" i="4"/>
  <c r="L283" i="8" s="1"/>
  <c r="J284" i="4"/>
  <c r="L284" i="8" s="1"/>
  <c r="J285" i="4"/>
  <c r="L285" i="8" s="1"/>
  <c r="J286" i="4"/>
  <c r="L286" i="8" s="1"/>
  <c r="J287" i="4"/>
  <c r="L287" i="8" s="1"/>
  <c r="J288" i="4"/>
  <c r="L288" i="8" s="1"/>
  <c r="J289" i="4"/>
  <c r="L289" i="8" s="1"/>
  <c r="J290" i="4"/>
  <c r="L290" i="8" s="1"/>
  <c r="J291" i="4"/>
  <c r="L291" i="8" s="1"/>
  <c r="J292" i="4"/>
  <c r="L292" i="8" s="1"/>
  <c r="J293" i="4"/>
  <c r="L293" i="8" s="1"/>
  <c r="J294" i="4"/>
  <c r="L294" i="8" s="1"/>
  <c r="J295" i="4"/>
  <c r="L295" i="8" s="1"/>
  <c r="J296" i="4"/>
  <c r="L296" i="8" s="1"/>
  <c r="J297" i="4"/>
  <c r="L297" i="8" s="1"/>
  <c r="J298" i="4"/>
  <c r="L298" i="8" s="1"/>
  <c r="J299" i="4"/>
  <c r="L299" i="8" s="1"/>
  <c r="J300" i="4"/>
  <c r="L300" i="8" s="1"/>
  <c r="J301" i="4"/>
  <c r="L301" i="8" s="1"/>
  <c r="J302" i="4"/>
  <c r="L302" i="8" s="1"/>
  <c r="J303" i="4"/>
  <c r="L303" i="8" s="1"/>
  <c r="J304" i="4"/>
  <c r="L304" i="8" s="1"/>
  <c r="J305" i="4"/>
  <c r="L305" i="8" s="1"/>
  <c r="J306" i="4"/>
  <c r="L306" i="8" s="1"/>
  <c r="J307" i="4"/>
  <c r="L307" i="8" s="1"/>
  <c r="J308" i="4"/>
  <c r="L308" i="8" s="1"/>
  <c r="J309" i="4"/>
  <c r="L309" i="8" s="1"/>
  <c r="J310" i="4"/>
  <c r="L310" i="8" s="1"/>
  <c r="J311" i="4"/>
  <c r="L311" i="8" s="1"/>
  <c r="J312" i="4"/>
  <c r="L312" i="8" s="1"/>
  <c r="J313" i="4"/>
  <c r="L313" i="8" s="1"/>
  <c r="J314" i="4"/>
  <c r="L314" i="8" s="1"/>
  <c r="J315" i="4"/>
  <c r="L315" i="8" s="1"/>
  <c r="J316" i="4"/>
  <c r="L316" i="8" s="1"/>
  <c r="J317" i="4"/>
  <c r="L317" i="8" s="1"/>
  <c r="J318" i="4"/>
  <c r="L318" i="8" s="1"/>
  <c r="J319" i="4"/>
  <c r="L319" i="8" s="1"/>
  <c r="J320" i="4"/>
  <c r="L320" i="8" s="1"/>
  <c r="J321" i="4"/>
  <c r="L321" i="8" s="1"/>
  <c r="J2" i="4"/>
  <c r="L2" i="8" s="1"/>
  <c r="I3" i="4"/>
  <c r="K3" i="8" s="1"/>
  <c r="I4" i="4"/>
  <c r="K4" i="8" s="1"/>
  <c r="I5" i="4"/>
  <c r="K5" i="8" s="1"/>
  <c r="I6" i="4"/>
  <c r="K6" i="8" s="1"/>
  <c r="I7" i="4"/>
  <c r="K7" i="8" s="1"/>
  <c r="I8" i="4"/>
  <c r="K8" i="8" s="1"/>
  <c r="I9" i="4"/>
  <c r="K9" i="8" s="1"/>
  <c r="I10" i="4"/>
  <c r="K10" i="8" s="1"/>
  <c r="I11" i="4"/>
  <c r="K11" i="8" s="1"/>
  <c r="I12" i="4"/>
  <c r="K12" i="8" s="1"/>
  <c r="I13" i="4"/>
  <c r="K13" i="8" s="1"/>
  <c r="I14" i="4"/>
  <c r="K14" i="8" s="1"/>
  <c r="I15" i="4"/>
  <c r="K15" i="8" s="1"/>
  <c r="I16" i="4"/>
  <c r="K16" i="8" s="1"/>
  <c r="I17" i="4"/>
  <c r="K17" i="8" s="1"/>
  <c r="I18" i="4"/>
  <c r="K18" i="8" s="1"/>
  <c r="I19" i="4"/>
  <c r="K19" i="8" s="1"/>
  <c r="I20" i="4"/>
  <c r="K20" i="8" s="1"/>
  <c r="I21" i="4"/>
  <c r="K21" i="8" s="1"/>
  <c r="I22" i="4"/>
  <c r="K22" i="8" s="1"/>
  <c r="I23" i="4"/>
  <c r="K23" i="8" s="1"/>
  <c r="I24" i="4"/>
  <c r="K24" i="8" s="1"/>
  <c r="I25" i="4"/>
  <c r="K25" i="8" s="1"/>
  <c r="I26" i="4"/>
  <c r="K26" i="8" s="1"/>
  <c r="I27" i="4"/>
  <c r="K27" i="8" s="1"/>
  <c r="I28" i="4"/>
  <c r="K28" i="8" s="1"/>
  <c r="I29" i="4"/>
  <c r="K29" i="8" s="1"/>
  <c r="I30" i="4"/>
  <c r="K30" i="8" s="1"/>
  <c r="I31" i="4"/>
  <c r="K31" i="8" s="1"/>
  <c r="I32" i="4"/>
  <c r="K32" i="8" s="1"/>
  <c r="I33" i="4"/>
  <c r="K33" i="8" s="1"/>
  <c r="I34" i="4"/>
  <c r="K34" i="8" s="1"/>
  <c r="I35" i="4"/>
  <c r="K35" i="8" s="1"/>
  <c r="I36" i="4"/>
  <c r="K36" i="8" s="1"/>
  <c r="I37" i="4"/>
  <c r="K37" i="8" s="1"/>
  <c r="I38" i="4"/>
  <c r="K38" i="8" s="1"/>
  <c r="I39" i="4"/>
  <c r="K39" i="8" s="1"/>
  <c r="I40" i="4"/>
  <c r="K40" i="8" s="1"/>
  <c r="I41" i="4"/>
  <c r="K41" i="8" s="1"/>
  <c r="I42" i="4"/>
  <c r="K42" i="8" s="1"/>
  <c r="I43" i="4"/>
  <c r="K43" i="8" s="1"/>
  <c r="I44" i="4"/>
  <c r="K44" i="8" s="1"/>
  <c r="I45" i="4"/>
  <c r="K45" i="8" s="1"/>
  <c r="I46" i="4"/>
  <c r="K46" i="8" s="1"/>
  <c r="I47" i="4"/>
  <c r="K47" i="8" s="1"/>
  <c r="I48" i="4"/>
  <c r="K48" i="8" s="1"/>
  <c r="I49" i="4"/>
  <c r="K49" i="8" s="1"/>
  <c r="I50" i="4"/>
  <c r="K50" i="8" s="1"/>
  <c r="I51" i="4"/>
  <c r="K51" i="8" s="1"/>
  <c r="I52" i="4"/>
  <c r="K52" i="8" s="1"/>
  <c r="I53" i="4"/>
  <c r="K53" i="8" s="1"/>
  <c r="I54" i="4"/>
  <c r="K54" i="8" s="1"/>
  <c r="I55" i="4"/>
  <c r="K55" i="8" s="1"/>
  <c r="I56" i="4"/>
  <c r="K56" i="8" s="1"/>
  <c r="I57" i="4"/>
  <c r="K57" i="8" s="1"/>
  <c r="I58" i="4"/>
  <c r="K58" i="8" s="1"/>
  <c r="I59" i="4"/>
  <c r="K59" i="8" s="1"/>
  <c r="I60" i="4"/>
  <c r="K60" i="8" s="1"/>
  <c r="I61" i="4"/>
  <c r="K61" i="8" s="1"/>
  <c r="I62" i="4"/>
  <c r="K62" i="8" s="1"/>
  <c r="I63" i="4"/>
  <c r="K63" i="8" s="1"/>
  <c r="I64" i="4"/>
  <c r="K64" i="8" s="1"/>
  <c r="I65" i="4"/>
  <c r="K65" i="8" s="1"/>
  <c r="I66" i="4"/>
  <c r="K66" i="8" s="1"/>
  <c r="I67" i="4"/>
  <c r="K67" i="8" s="1"/>
  <c r="I68" i="4"/>
  <c r="K68" i="8" s="1"/>
  <c r="I69" i="4"/>
  <c r="K69" i="8" s="1"/>
  <c r="I70" i="4"/>
  <c r="K70" i="8" s="1"/>
  <c r="I71" i="4"/>
  <c r="K71" i="8" s="1"/>
  <c r="I72" i="4"/>
  <c r="K72" i="8" s="1"/>
  <c r="I73" i="4"/>
  <c r="K73" i="8" s="1"/>
  <c r="I74" i="4"/>
  <c r="K74" i="8" s="1"/>
  <c r="I75" i="4"/>
  <c r="K75" i="8" s="1"/>
  <c r="I76" i="4"/>
  <c r="K76" i="8" s="1"/>
  <c r="I77" i="4"/>
  <c r="K77" i="8" s="1"/>
  <c r="I78" i="4"/>
  <c r="K78" i="8" s="1"/>
  <c r="I79" i="4"/>
  <c r="K79" i="8" s="1"/>
  <c r="I80" i="4"/>
  <c r="K80" i="8" s="1"/>
  <c r="I81" i="4"/>
  <c r="K81" i="8" s="1"/>
  <c r="I82" i="4"/>
  <c r="K82" i="8" s="1"/>
  <c r="I83" i="4"/>
  <c r="K83" i="8" s="1"/>
  <c r="I84" i="4"/>
  <c r="K84" i="8" s="1"/>
  <c r="I85" i="4"/>
  <c r="K85" i="8" s="1"/>
  <c r="I86" i="4"/>
  <c r="K86" i="8" s="1"/>
  <c r="I87" i="4"/>
  <c r="K87" i="8" s="1"/>
  <c r="I88" i="4"/>
  <c r="K88" i="8" s="1"/>
  <c r="I89" i="4"/>
  <c r="K89" i="8" s="1"/>
  <c r="I90" i="4"/>
  <c r="K90" i="8" s="1"/>
  <c r="I91" i="4"/>
  <c r="K91" i="8" s="1"/>
  <c r="I92" i="4"/>
  <c r="K92" i="8" s="1"/>
  <c r="I93" i="4"/>
  <c r="K93" i="8" s="1"/>
  <c r="I94" i="4"/>
  <c r="K94" i="8" s="1"/>
  <c r="I95" i="4"/>
  <c r="K95" i="8" s="1"/>
  <c r="I96" i="4"/>
  <c r="K96" i="8" s="1"/>
  <c r="I97" i="4"/>
  <c r="K97" i="8" s="1"/>
  <c r="I98" i="4"/>
  <c r="K98" i="8" s="1"/>
  <c r="I99" i="4"/>
  <c r="K99" i="8" s="1"/>
  <c r="I100" i="4"/>
  <c r="K100" i="8" s="1"/>
  <c r="I101" i="4"/>
  <c r="K101" i="8" s="1"/>
  <c r="I102" i="4"/>
  <c r="K102" i="8" s="1"/>
  <c r="I103" i="4"/>
  <c r="K103" i="8" s="1"/>
  <c r="I104" i="4"/>
  <c r="K104" i="8" s="1"/>
  <c r="I105" i="4"/>
  <c r="K105" i="8" s="1"/>
  <c r="I106" i="4"/>
  <c r="K106" i="8" s="1"/>
  <c r="I107" i="4"/>
  <c r="K107" i="8" s="1"/>
  <c r="I108" i="4"/>
  <c r="K108" i="8" s="1"/>
  <c r="I109" i="4"/>
  <c r="K109" i="8" s="1"/>
  <c r="I110" i="4"/>
  <c r="K110" i="8" s="1"/>
  <c r="I111" i="4"/>
  <c r="K111" i="8" s="1"/>
  <c r="I112" i="4"/>
  <c r="K112" i="8" s="1"/>
  <c r="I113" i="4"/>
  <c r="K113" i="8" s="1"/>
  <c r="I114" i="4"/>
  <c r="K114" i="8" s="1"/>
  <c r="I115" i="4"/>
  <c r="K115" i="8" s="1"/>
  <c r="I116" i="4"/>
  <c r="K116" i="8" s="1"/>
  <c r="I117" i="4"/>
  <c r="K117" i="8" s="1"/>
  <c r="I118" i="4"/>
  <c r="K118" i="8" s="1"/>
  <c r="I119" i="4"/>
  <c r="K119" i="8" s="1"/>
  <c r="I120" i="4"/>
  <c r="K120" i="8" s="1"/>
  <c r="I121" i="4"/>
  <c r="K121" i="8" s="1"/>
  <c r="I122" i="4"/>
  <c r="K122" i="8" s="1"/>
  <c r="I123" i="4"/>
  <c r="K123" i="8" s="1"/>
  <c r="I124" i="4"/>
  <c r="K124" i="8" s="1"/>
  <c r="I125" i="4"/>
  <c r="K125" i="8" s="1"/>
  <c r="I126" i="4"/>
  <c r="K126" i="8" s="1"/>
  <c r="I127" i="4"/>
  <c r="K127" i="8" s="1"/>
  <c r="I128" i="4"/>
  <c r="K128" i="8" s="1"/>
  <c r="I129" i="4"/>
  <c r="K129" i="8" s="1"/>
  <c r="I130" i="4"/>
  <c r="K130" i="8" s="1"/>
  <c r="I131" i="4"/>
  <c r="K131" i="8" s="1"/>
  <c r="I132" i="4"/>
  <c r="K132" i="8" s="1"/>
  <c r="I133" i="4"/>
  <c r="K133" i="8" s="1"/>
  <c r="I134" i="4"/>
  <c r="K134" i="8" s="1"/>
  <c r="I135" i="4"/>
  <c r="K135" i="8" s="1"/>
  <c r="I136" i="4"/>
  <c r="K136" i="8" s="1"/>
  <c r="I137" i="4"/>
  <c r="K137" i="8" s="1"/>
  <c r="I138" i="4"/>
  <c r="K138" i="8" s="1"/>
  <c r="I139" i="4"/>
  <c r="K139" i="8" s="1"/>
  <c r="I140" i="4"/>
  <c r="K140" i="8" s="1"/>
  <c r="I141" i="4"/>
  <c r="K141" i="8" s="1"/>
  <c r="I142" i="4"/>
  <c r="K142" i="8" s="1"/>
  <c r="I143" i="4"/>
  <c r="K143" i="8" s="1"/>
  <c r="I144" i="4"/>
  <c r="K144" i="8" s="1"/>
  <c r="I145" i="4"/>
  <c r="K145" i="8" s="1"/>
  <c r="I146" i="4"/>
  <c r="K146" i="8" s="1"/>
  <c r="I147" i="4"/>
  <c r="K147" i="8" s="1"/>
  <c r="I148" i="4"/>
  <c r="K148" i="8" s="1"/>
  <c r="I149" i="4"/>
  <c r="K149" i="8" s="1"/>
  <c r="I150" i="4"/>
  <c r="K150" i="8" s="1"/>
  <c r="I151" i="4"/>
  <c r="K151" i="8" s="1"/>
  <c r="I152" i="4"/>
  <c r="K152" i="8" s="1"/>
  <c r="I153" i="4"/>
  <c r="K153" i="8" s="1"/>
  <c r="I154" i="4"/>
  <c r="K154" i="8" s="1"/>
  <c r="I155" i="4"/>
  <c r="K155" i="8" s="1"/>
  <c r="I156" i="4"/>
  <c r="K156" i="8" s="1"/>
  <c r="I157" i="4"/>
  <c r="K157" i="8" s="1"/>
  <c r="I158" i="4"/>
  <c r="K158" i="8" s="1"/>
  <c r="I159" i="4"/>
  <c r="K159" i="8" s="1"/>
  <c r="I160" i="4"/>
  <c r="K160" i="8" s="1"/>
  <c r="I161" i="4"/>
  <c r="K161" i="8" s="1"/>
  <c r="I162" i="4"/>
  <c r="K162" i="8" s="1"/>
  <c r="I163" i="4"/>
  <c r="K163" i="8" s="1"/>
  <c r="I164" i="4"/>
  <c r="K164" i="8" s="1"/>
  <c r="I165" i="4"/>
  <c r="K165" i="8" s="1"/>
  <c r="I166" i="4"/>
  <c r="K166" i="8" s="1"/>
  <c r="I167" i="4"/>
  <c r="K167" i="8" s="1"/>
  <c r="I168" i="4"/>
  <c r="K168" i="8" s="1"/>
  <c r="I169" i="4"/>
  <c r="K169" i="8" s="1"/>
  <c r="I170" i="4"/>
  <c r="K170" i="8" s="1"/>
  <c r="I171" i="4"/>
  <c r="K171" i="8" s="1"/>
  <c r="I172" i="4"/>
  <c r="K172" i="8" s="1"/>
  <c r="I173" i="4"/>
  <c r="K173" i="8" s="1"/>
  <c r="I174" i="4"/>
  <c r="K174" i="8" s="1"/>
  <c r="I175" i="4"/>
  <c r="K175" i="8" s="1"/>
  <c r="I176" i="4"/>
  <c r="K176" i="8" s="1"/>
  <c r="I177" i="4"/>
  <c r="K177" i="8" s="1"/>
  <c r="I178" i="4"/>
  <c r="K178" i="8" s="1"/>
  <c r="I179" i="4"/>
  <c r="K179" i="8" s="1"/>
  <c r="I180" i="4"/>
  <c r="K180" i="8" s="1"/>
  <c r="I181" i="4"/>
  <c r="K181" i="8" s="1"/>
  <c r="I182" i="4"/>
  <c r="K182" i="8" s="1"/>
  <c r="I183" i="4"/>
  <c r="K183" i="8" s="1"/>
  <c r="I184" i="4"/>
  <c r="K184" i="8" s="1"/>
  <c r="I185" i="4"/>
  <c r="K185" i="8" s="1"/>
  <c r="I186" i="4"/>
  <c r="K186" i="8" s="1"/>
  <c r="I187" i="4"/>
  <c r="K187" i="8" s="1"/>
  <c r="I188" i="4"/>
  <c r="K188" i="8" s="1"/>
  <c r="I189" i="4"/>
  <c r="K189" i="8" s="1"/>
  <c r="I190" i="4"/>
  <c r="K190" i="8" s="1"/>
  <c r="I191" i="4"/>
  <c r="K191" i="8" s="1"/>
  <c r="I192" i="4"/>
  <c r="K192" i="8" s="1"/>
  <c r="I193" i="4"/>
  <c r="K193" i="8" s="1"/>
  <c r="I194" i="4"/>
  <c r="K194" i="8" s="1"/>
  <c r="I195" i="4"/>
  <c r="K195" i="8" s="1"/>
  <c r="I196" i="4"/>
  <c r="K196" i="8" s="1"/>
  <c r="I197" i="4"/>
  <c r="K197" i="8" s="1"/>
  <c r="I198" i="4"/>
  <c r="K198" i="8" s="1"/>
  <c r="I199" i="4"/>
  <c r="K199" i="8" s="1"/>
  <c r="I200" i="4"/>
  <c r="K200" i="8" s="1"/>
  <c r="I201" i="4"/>
  <c r="K201" i="8" s="1"/>
  <c r="I202" i="4"/>
  <c r="K202" i="8" s="1"/>
  <c r="I203" i="4"/>
  <c r="K203" i="8" s="1"/>
  <c r="I204" i="4"/>
  <c r="K204" i="8" s="1"/>
  <c r="I205" i="4"/>
  <c r="K205" i="8" s="1"/>
  <c r="I206" i="4"/>
  <c r="K206" i="8" s="1"/>
  <c r="I207" i="4"/>
  <c r="K207" i="8" s="1"/>
  <c r="I208" i="4"/>
  <c r="K208" i="8" s="1"/>
  <c r="I209" i="4"/>
  <c r="K209" i="8" s="1"/>
  <c r="I210" i="4"/>
  <c r="K210" i="8" s="1"/>
  <c r="I211" i="4"/>
  <c r="K211" i="8" s="1"/>
  <c r="I212" i="4"/>
  <c r="K212" i="8" s="1"/>
  <c r="I213" i="4"/>
  <c r="K213" i="8" s="1"/>
  <c r="I214" i="4"/>
  <c r="K214" i="8" s="1"/>
  <c r="I215" i="4"/>
  <c r="K215" i="8" s="1"/>
  <c r="I216" i="4"/>
  <c r="K216" i="8" s="1"/>
  <c r="I217" i="4"/>
  <c r="K217" i="8" s="1"/>
  <c r="I218" i="4"/>
  <c r="K218" i="8" s="1"/>
  <c r="I219" i="4"/>
  <c r="K219" i="8" s="1"/>
  <c r="I220" i="4"/>
  <c r="K220" i="8" s="1"/>
  <c r="I221" i="4"/>
  <c r="K221" i="8" s="1"/>
  <c r="I222" i="4"/>
  <c r="K222" i="8" s="1"/>
  <c r="I223" i="4"/>
  <c r="K223" i="8" s="1"/>
  <c r="I224" i="4"/>
  <c r="K224" i="8" s="1"/>
  <c r="I225" i="4"/>
  <c r="K225" i="8" s="1"/>
  <c r="I226" i="4"/>
  <c r="K226" i="8" s="1"/>
  <c r="I227" i="4"/>
  <c r="K227" i="8" s="1"/>
  <c r="I228" i="4"/>
  <c r="K228" i="8" s="1"/>
  <c r="I229" i="4"/>
  <c r="K229" i="8" s="1"/>
  <c r="I230" i="4"/>
  <c r="K230" i="8" s="1"/>
  <c r="I231" i="4"/>
  <c r="K231" i="8" s="1"/>
  <c r="I232" i="4"/>
  <c r="K232" i="8" s="1"/>
  <c r="I233" i="4"/>
  <c r="K233" i="8" s="1"/>
  <c r="I234" i="4"/>
  <c r="K234" i="8" s="1"/>
  <c r="I235" i="4"/>
  <c r="K235" i="8" s="1"/>
  <c r="I236" i="4"/>
  <c r="K236" i="8" s="1"/>
  <c r="I237" i="4"/>
  <c r="K237" i="8" s="1"/>
  <c r="I238" i="4"/>
  <c r="K238" i="8" s="1"/>
  <c r="I239" i="4"/>
  <c r="K239" i="8" s="1"/>
  <c r="I240" i="4"/>
  <c r="K240" i="8" s="1"/>
  <c r="I241" i="4"/>
  <c r="K241" i="8" s="1"/>
  <c r="I242" i="4"/>
  <c r="K242" i="8" s="1"/>
  <c r="I243" i="4"/>
  <c r="K243" i="8" s="1"/>
  <c r="I244" i="4"/>
  <c r="K244" i="8" s="1"/>
  <c r="I245" i="4"/>
  <c r="K245" i="8" s="1"/>
  <c r="I246" i="4"/>
  <c r="K246" i="8" s="1"/>
  <c r="I247" i="4"/>
  <c r="K247" i="8" s="1"/>
  <c r="I248" i="4"/>
  <c r="K248" i="8" s="1"/>
  <c r="I249" i="4"/>
  <c r="K249" i="8" s="1"/>
  <c r="I250" i="4"/>
  <c r="K250" i="8" s="1"/>
  <c r="I251" i="4"/>
  <c r="K251" i="8" s="1"/>
  <c r="I252" i="4"/>
  <c r="K252" i="8" s="1"/>
  <c r="I253" i="4"/>
  <c r="K253" i="8" s="1"/>
  <c r="I254" i="4"/>
  <c r="K254" i="8" s="1"/>
  <c r="I255" i="4"/>
  <c r="K255" i="8" s="1"/>
  <c r="I256" i="4"/>
  <c r="K256" i="8" s="1"/>
  <c r="I257" i="4"/>
  <c r="K257" i="8" s="1"/>
  <c r="I258" i="4"/>
  <c r="K258" i="8" s="1"/>
  <c r="I259" i="4"/>
  <c r="K259" i="8" s="1"/>
  <c r="I260" i="4"/>
  <c r="K260" i="8" s="1"/>
  <c r="I261" i="4"/>
  <c r="K261" i="8" s="1"/>
  <c r="I262" i="4"/>
  <c r="K262" i="8" s="1"/>
  <c r="I263" i="4"/>
  <c r="K263" i="8" s="1"/>
  <c r="I264" i="4"/>
  <c r="K264" i="8" s="1"/>
  <c r="I265" i="4"/>
  <c r="K265" i="8" s="1"/>
  <c r="I266" i="4"/>
  <c r="K266" i="8" s="1"/>
  <c r="I267" i="4"/>
  <c r="K267" i="8" s="1"/>
  <c r="I268" i="4"/>
  <c r="K268" i="8" s="1"/>
  <c r="I269" i="4"/>
  <c r="K269" i="8" s="1"/>
  <c r="I270" i="4"/>
  <c r="K270" i="8" s="1"/>
  <c r="I271" i="4"/>
  <c r="K271" i="8" s="1"/>
  <c r="I272" i="4"/>
  <c r="K272" i="8" s="1"/>
  <c r="I273" i="4"/>
  <c r="K273" i="8" s="1"/>
  <c r="I274" i="4"/>
  <c r="K274" i="8" s="1"/>
  <c r="I275" i="4"/>
  <c r="K275" i="8" s="1"/>
  <c r="I276" i="4"/>
  <c r="K276" i="8" s="1"/>
  <c r="I277" i="4"/>
  <c r="K277" i="8" s="1"/>
  <c r="I278" i="4"/>
  <c r="K278" i="8" s="1"/>
  <c r="I279" i="4"/>
  <c r="K279" i="8" s="1"/>
  <c r="I280" i="4"/>
  <c r="K280" i="8" s="1"/>
  <c r="I281" i="4"/>
  <c r="K281" i="8" s="1"/>
  <c r="I282" i="4"/>
  <c r="K282" i="8" s="1"/>
  <c r="I283" i="4"/>
  <c r="K283" i="8" s="1"/>
  <c r="I284" i="4"/>
  <c r="K284" i="8" s="1"/>
  <c r="I285" i="4"/>
  <c r="K285" i="8" s="1"/>
  <c r="I286" i="4"/>
  <c r="K286" i="8" s="1"/>
  <c r="I287" i="4"/>
  <c r="K287" i="8" s="1"/>
  <c r="I288" i="4"/>
  <c r="K288" i="8" s="1"/>
  <c r="I289" i="4"/>
  <c r="K289" i="8" s="1"/>
  <c r="I290" i="4"/>
  <c r="K290" i="8" s="1"/>
  <c r="I291" i="4"/>
  <c r="K291" i="8" s="1"/>
  <c r="I292" i="4"/>
  <c r="K292" i="8" s="1"/>
  <c r="I293" i="4"/>
  <c r="K293" i="8" s="1"/>
  <c r="I294" i="4"/>
  <c r="K294" i="8" s="1"/>
  <c r="I295" i="4"/>
  <c r="K295" i="8" s="1"/>
  <c r="I296" i="4"/>
  <c r="K296" i="8" s="1"/>
  <c r="I297" i="4"/>
  <c r="K297" i="8" s="1"/>
  <c r="I298" i="4"/>
  <c r="K298" i="8" s="1"/>
  <c r="I299" i="4"/>
  <c r="K299" i="8" s="1"/>
  <c r="I300" i="4"/>
  <c r="K300" i="8" s="1"/>
  <c r="I301" i="4"/>
  <c r="K301" i="8" s="1"/>
  <c r="I302" i="4"/>
  <c r="K302" i="8" s="1"/>
  <c r="I303" i="4"/>
  <c r="K303" i="8" s="1"/>
  <c r="I304" i="4"/>
  <c r="K304" i="8" s="1"/>
  <c r="I305" i="4"/>
  <c r="K305" i="8" s="1"/>
  <c r="I306" i="4"/>
  <c r="K306" i="8" s="1"/>
  <c r="I307" i="4"/>
  <c r="K307" i="8" s="1"/>
  <c r="I308" i="4"/>
  <c r="K308" i="8" s="1"/>
  <c r="I309" i="4"/>
  <c r="K309" i="8" s="1"/>
  <c r="I310" i="4"/>
  <c r="K310" i="8" s="1"/>
  <c r="I311" i="4"/>
  <c r="K311" i="8" s="1"/>
  <c r="I312" i="4"/>
  <c r="K312" i="8" s="1"/>
  <c r="I313" i="4"/>
  <c r="K313" i="8" s="1"/>
  <c r="I314" i="4"/>
  <c r="K314" i="8" s="1"/>
  <c r="I315" i="4"/>
  <c r="K315" i="8" s="1"/>
  <c r="I316" i="4"/>
  <c r="K316" i="8" s="1"/>
  <c r="I317" i="4"/>
  <c r="K317" i="8" s="1"/>
  <c r="I318" i="4"/>
  <c r="K318" i="8" s="1"/>
  <c r="I319" i="4"/>
  <c r="K319" i="8" s="1"/>
  <c r="I320" i="4"/>
  <c r="K320" i="8" s="1"/>
  <c r="I321" i="4"/>
  <c r="K321" i="8" s="1"/>
  <c r="I2" i="4"/>
  <c r="K2" i="8" s="1"/>
  <c r="H3" i="4"/>
  <c r="J3" i="8" s="1"/>
  <c r="H4" i="4"/>
  <c r="J4" i="8" s="1"/>
  <c r="H5" i="4"/>
  <c r="J5" i="8" s="1"/>
  <c r="H6" i="4"/>
  <c r="J6" i="8" s="1"/>
  <c r="H7" i="4"/>
  <c r="J7" i="8" s="1"/>
  <c r="H8" i="4"/>
  <c r="J8" i="8" s="1"/>
  <c r="H9" i="4"/>
  <c r="J9" i="8" s="1"/>
  <c r="H10" i="4"/>
  <c r="J10" i="8" s="1"/>
  <c r="H11" i="4"/>
  <c r="J11" i="8" s="1"/>
  <c r="H12" i="4"/>
  <c r="J12" i="8" s="1"/>
  <c r="H13" i="4"/>
  <c r="J13" i="8" s="1"/>
  <c r="H14" i="4"/>
  <c r="J14" i="8" s="1"/>
  <c r="H15" i="4"/>
  <c r="J15" i="8" s="1"/>
  <c r="H16" i="4"/>
  <c r="J16" i="8" s="1"/>
  <c r="H17" i="4"/>
  <c r="J17" i="8" s="1"/>
  <c r="H18" i="4"/>
  <c r="J18" i="8" s="1"/>
  <c r="H19" i="4"/>
  <c r="J19" i="8" s="1"/>
  <c r="H20" i="4"/>
  <c r="J20" i="8" s="1"/>
  <c r="H21" i="4"/>
  <c r="J21" i="8" s="1"/>
  <c r="H22" i="4"/>
  <c r="J22" i="8" s="1"/>
  <c r="H23" i="4"/>
  <c r="J23" i="8" s="1"/>
  <c r="H24" i="4"/>
  <c r="J24" i="8" s="1"/>
  <c r="H25" i="4"/>
  <c r="J25" i="8" s="1"/>
  <c r="H26" i="4"/>
  <c r="J26" i="8" s="1"/>
  <c r="H27" i="4"/>
  <c r="J27" i="8" s="1"/>
  <c r="H28" i="4"/>
  <c r="J28" i="8" s="1"/>
  <c r="H29" i="4"/>
  <c r="J29" i="8" s="1"/>
  <c r="H30" i="4"/>
  <c r="J30" i="8" s="1"/>
  <c r="H31" i="4"/>
  <c r="J31" i="8" s="1"/>
  <c r="H32" i="4"/>
  <c r="J32" i="8" s="1"/>
  <c r="H33" i="4"/>
  <c r="J33" i="8" s="1"/>
  <c r="H34" i="4"/>
  <c r="J34" i="8" s="1"/>
  <c r="H35" i="4"/>
  <c r="J35" i="8" s="1"/>
  <c r="H36" i="4"/>
  <c r="J36" i="8" s="1"/>
  <c r="H37" i="4"/>
  <c r="J37" i="8" s="1"/>
  <c r="H38" i="4"/>
  <c r="J38" i="8" s="1"/>
  <c r="H39" i="4"/>
  <c r="J39" i="8" s="1"/>
  <c r="H40" i="4"/>
  <c r="J40" i="8" s="1"/>
  <c r="H41" i="4"/>
  <c r="J41" i="8" s="1"/>
  <c r="H42" i="4"/>
  <c r="J42" i="8" s="1"/>
  <c r="H43" i="4"/>
  <c r="J43" i="8" s="1"/>
  <c r="H44" i="4"/>
  <c r="J44" i="8" s="1"/>
  <c r="H45" i="4"/>
  <c r="J45" i="8" s="1"/>
  <c r="H46" i="4"/>
  <c r="J46" i="8" s="1"/>
  <c r="H47" i="4"/>
  <c r="J47" i="8" s="1"/>
  <c r="H48" i="4"/>
  <c r="J48" i="8" s="1"/>
  <c r="H49" i="4"/>
  <c r="J49" i="8" s="1"/>
  <c r="H50" i="4"/>
  <c r="J50" i="8" s="1"/>
  <c r="H51" i="4"/>
  <c r="J51" i="8" s="1"/>
  <c r="H52" i="4"/>
  <c r="J52" i="8" s="1"/>
  <c r="H53" i="4"/>
  <c r="J53" i="8" s="1"/>
  <c r="H54" i="4"/>
  <c r="J54" i="8" s="1"/>
  <c r="H55" i="4"/>
  <c r="J55" i="8" s="1"/>
  <c r="H56" i="4"/>
  <c r="J56" i="8" s="1"/>
  <c r="H57" i="4"/>
  <c r="J57" i="8" s="1"/>
  <c r="H58" i="4"/>
  <c r="J58" i="8" s="1"/>
  <c r="H59" i="4"/>
  <c r="J59" i="8" s="1"/>
  <c r="H60" i="4"/>
  <c r="J60" i="8" s="1"/>
  <c r="H61" i="4"/>
  <c r="J61" i="8" s="1"/>
  <c r="H62" i="4"/>
  <c r="J62" i="8" s="1"/>
  <c r="H63" i="4"/>
  <c r="J63" i="8" s="1"/>
  <c r="H64" i="4"/>
  <c r="J64" i="8" s="1"/>
  <c r="H65" i="4"/>
  <c r="J65" i="8" s="1"/>
  <c r="H66" i="4"/>
  <c r="J66" i="8" s="1"/>
  <c r="H67" i="4"/>
  <c r="J67" i="8" s="1"/>
  <c r="H68" i="4"/>
  <c r="J68" i="8" s="1"/>
  <c r="H69" i="4"/>
  <c r="J69" i="8" s="1"/>
  <c r="H70" i="4"/>
  <c r="J70" i="8" s="1"/>
  <c r="H71" i="4"/>
  <c r="J71" i="8" s="1"/>
  <c r="H72" i="4"/>
  <c r="J72" i="8" s="1"/>
  <c r="H73" i="4"/>
  <c r="J73" i="8" s="1"/>
  <c r="H74" i="4"/>
  <c r="J74" i="8" s="1"/>
  <c r="H75" i="4"/>
  <c r="J75" i="8" s="1"/>
  <c r="H76" i="4"/>
  <c r="J76" i="8" s="1"/>
  <c r="H77" i="4"/>
  <c r="J77" i="8" s="1"/>
  <c r="H78" i="4"/>
  <c r="J78" i="8" s="1"/>
  <c r="H79" i="4"/>
  <c r="J79" i="8" s="1"/>
  <c r="H80" i="4"/>
  <c r="J80" i="8" s="1"/>
  <c r="H81" i="4"/>
  <c r="J81" i="8" s="1"/>
  <c r="H82" i="4"/>
  <c r="J82" i="8" s="1"/>
  <c r="H83" i="4"/>
  <c r="J83" i="8" s="1"/>
  <c r="H84" i="4"/>
  <c r="J84" i="8" s="1"/>
  <c r="H85" i="4"/>
  <c r="J85" i="8" s="1"/>
  <c r="H86" i="4"/>
  <c r="J86" i="8" s="1"/>
  <c r="H87" i="4"/>
  <c r="J87" i="8" s="1"/>
  <c r="H88" i="4"/>
  <c r="J88" i="8" s="1"/>
  <c r="H89" i="4"/>
  <c r="J89" i="8" s="1"/>
  <c r="H90" i="4"/>
  <c r="J90" i="8" s="1"/>
  <c r="H91" i="4"/>
  <c r="J91" i="8" s="1"/>
  <c r="H92" i="4"/>
  <c r="J92" i="8" s="1"/>
  <c r="H93" i="4"/>
  <c r="J93" i="8" s="1"/>
  <c r="H94" i="4"/>
  <c r="J94" i="8" s="1"/>
  <c r="H95" i="4"/>
  <c r="J95" i="8" s="1"/>
  <c r="H96" i="4"/>
  <c r="J96" i="8" s="1"/>
  <c r="H97" i="4"/>
  <c r="J97" i="8" s="1"/>
  <c r="H98" i="4"/>
  <c r="J98" i="8" s="1"/>
  <c r="H99" i="4"/>
  <c r="J99" i="8" s="1"/>
  <c r="H100" i="4"/>
  <c r="J100" i="8" s="1"/>
  <c r="H101" i="4"/>
  <c r="J101" i="8" s="1"/>
  <c r="H102" i="4"/>
  <c r="J102" i="8" s="1"/>
  <c r="H103" i="4"/>
  <c r="J103" i="8" s="1"/>
  <c r="H104" i="4"/>
  <c r="J104" i="8" s="1"/>
  <c r="H105" i="4"/>
  <c r="J105" i="8" s="1"/>
  <c r="H106" i="4"/>
  <c r="J106" i="8" s="1"/>
  <c r="H107" i="4"/>
  <c r="J107" i="8" s="1"/>
  <c r="H108" i="4"/>
  <c r="J108" i="8" s="1"/>
  <c r="H109" i="4"/>
  <c r="J109" i="8" s="1"/>
  <c r="H110" i="4"/>
  <c r="J110" i="8" s="1"/>
  <c r="H111" i="4"/>
  <c r="J111" i="8" s="1"/>
  <c r="H112" i="4"/>
  <c r="J112" i="8" s="1"/>
  <c r="H113" i="4"/>
  <c r="J113" i="8" s="1"/>
  <c r="H114" i="4"/>
  <c r="J114" i="8" s="1"/>
  <c r="H115" i="4"/>
  <c r="J115" i="8" s="1"/>
  <c r="H116" i="4"/>
  <c r="J116" i="8" s="1"/>
  <c r="H117" i="4"/>
  <c r="J117" i="8" s="1"/>
  <c r="H118" i="4"/>
  <c r="J118" i="8" s="1"/>
  <c r="H119" i="4"/>
  <c r="J119" i="8" s="1"/>
  <c r="H120" i="4"/>
  <c r="J120" i="8" s="1"/>
  <c r="H121" i="4"/>
  <c r="J121" i="8" s="1"/>
  <c r="H122" i="4"/>
  <c r="J122" i="8" s="1"/>
  <c r="H123" i="4"/>
  <c r="J123" i="8" s="1"/>
  <c r="H124" i="4"/>
  <c r="J124" i="8" s="1"/>
  <c r="H125" i="4"/>
  <c r="J125" i="8" s="1"/>
  <c r="H126" i="4"/>
  <c r="J126" i="8" s="1"/>
  <c r="H127" i="4"/>
  <c r="J127" i="8" s="1"/>
  <c r="H128" i="4"/>
  <c r="J128" i="8" s="1"/>
  <c r="H129" i="4"/>
  <c r="J129" i="8" s="1"/>
  <c r="H130" i="4"/>
  <c r="J130" i="8" s="1"/>
  <c r="H131" i="4"/>
  <c r="J131" i="8" s="1"/>
  <c r="H132" i="4"/>
  <c r="J132" i="8" s="1"/>
  <c r="H133" i="4"/>
  <c r="J133" i="8" s="1"/>
  <c r="H134" i="4"/>
  <c r="J134" i="8" s="1"/>
  <c r="H135" i="4"/>
  <c r="J135" i="8" s="1"/>
  <c r="H136" i="4"/>
  <c r="J136" i="8" s="1"/>
  <c r="H137" i="4"/>
  <c r="J137" i="8" s="1"/>
  <c r="H138" i="4"/>
  <c r="J138" i="8" s="1"/>
  <c r="H139" i="4"/>
  <c r="J139" i="8" s="1"/>
  <c r="H140" i="4"/>
  <c r="J140" i="8" s="1"/>
  <c r="H141" i="4"/>
  <c r="J141" i="8" s="1"/>
  <c r="H142" i="4"/>
  <c r="J142" i="8" s="1"/>
  <c r="H143" i="4"/>
  <c r="J143" i="8" s="1"/>
  <c r="H144" i="4"/>
  <c r="J144" i="8" s="1"/>
  <c r="H145" i="4"/>
  <c r="J145" i="8" s="1"/>
  <c r="H146" i="4"/>
  <c r="J146" i="8" s="1"/>
  <c r="H147" i="4"/>
  <c r="J147" i="8" s="1"/>
  <c r="H148" i="4"/>
  <c r="J148" i="8" s="1"/>
  <c r="H149" i="4"/>
  <c r="J149" i="8" s="1"/>
  <c r="H150" i="4"/>
  <c r="J150" i="8" s="1"/>
  <c r="H151" i="4"/>
  <c r="J151" i="8" s="1"/>
  <c r="H152" i="4"/>
  <c r="J152" i="8" s="1"/>
  <c r="H153" i="4"/>
  <c r="J153" i="8" s="1"/>
  <c r="H154" i="4"/>
  <c r="J154" i="8" s="1"/>
  <c r="H155" i="4"/>
  <c r="J155" i="8" s="1"/>
  <c r="H156" i="4"/>
  <c r="J156" i="8" s="1"/>
  <c r="H157" i="4"/>
  <c r="J157" i="8" s="1"/>
  <c r="H158" i="4"/>
  <c r="J158" i="8" s="1"/>
  <c r="H159" i="4"/>
  <c r="J159" i="8" s="1"/>
  <c r="H160" i="4"/>
  <c r="J160" i="8" s="1"/>
  <c r="H161" i="4"/>
  <c r="J161" i="8" s="1"/>
  <c r="H162" i="4"/>
  <c r="J162" i="8" s="1"/>
  <c r="H163" i="4"/>
  <c r="J163" i="8" s="1"/>
  <c r="H164" i="4"/>
  <c r="J164" i="8" s="1"/>
  <c r="H165" i="4"/>
  <c r="J165" i="8" s="1"/>
  <c r="H166" i="4"/>
  <c r="J166" i="8" s="1"/>
  <c r="H167" i="4"/>
  <c r="J167" i="8" s="1"/>
  <c r="H168" i="4"/>
  <c r="J168" i="8" s="1"/>
  <c r="H169" i="4"/>
  <c r="J169" i="8" s="1"/>
  <c r="H170" i="4"/>
  <c r="J170" i="8" s="1"/>
  <c r="H171" i="4"/>
  <c r="J171" i="8" s="1"/>
  <c r="H172" i="4"/>
  <c r="J172" i="8" s="1"/>
  <c r="H173" i="4"/>
  <c r="J173" i="8" s="1"/>
  <c r="H174" i="4"/>
  <c r="J174" i="8" s="1"/>
  <c r="H175" i="4"/>
  <c r="J175" i="8" s="1"/>
  <c r="H176" i="4"/>
  <c r="J176" i="8" s="1"/>
  <c r="H177" i="4"/>
  <c r="J177" i="8" s="1"/>
  <c r="H178" i="4"/>
  <c r="J178" i="8" s="1"/>
  <c r="H179" i="4"/>
  <c r="J179" i="8" s="1"/>
  <c r="H180" i="4"/>
  <c r="J180" i="8" s="1"/>
  <c r="H181" i="4"/>
  <c r="J181" i="8" s="1"/>
  <c r="H182" i="4"/>
  <c r="J182" i="8" s="1"/>
  <c r="H183" i="4"/>
  <c r="J183" i="8" s="1"/>
  <c r="H184" i="4"/>
  <c r="J184" i="8" s="1"/>
  <c r="H185" i="4"/>
  <c r="J185" i="8" s="1"/>
  <c r="H186" i="4"/>
  <c r="J186" i="8" s="1"/>
  <c r="H187" i="4"/>
  <c r="J187" i="8" s="1"/>
  <c r="H188" i="4"/>
  <c r="J188" i="8" s="1"/>
  <c r="H189" i="4"/>
  <c r="J189" i="8" s="1"/>
  <c r="H190" i="4"/>
  <c r="J190" i="8" s="1"/>
  <c r="H191" i="4"/>
  <c r="J191" i="8" s="1"/>
  <c r="H192" i="4"/>
  <c r="J192" i="8" s="1"/>
  <c r="H193" i="4"/>
  <c r="J193" i="8" s="1"/>
  <c r="H194" i="4"/>
  <c r="J194" i="8" s="1"/>
  <c r="H195" i="4"/>
  <c r="J195" i="8" s="1"/>
  <c r="H196" i="4"/>
  <c r="J196" i="8" s="1"/>
  <c r="H197" i="4"/>
  <c r="J197" i="8" s="1"/>
  <c r="H198" i="4"/>
  <c r="J198" i="8" s="1"/>
  <c r="H199" i="4"/>
  <c r="J199" i="8" s="1"/>
  <c r="H200" i="4"/>
  <c r="J200" i="8" s="1"/>
  <c r="H201" i="4"/>
  <c r="J201" i="8" s="1"/>
  <c r="H202" i="4"/>
  <c r="J202" i="8" s="1"/>
  <c r="H203" i="4"/>
  <c r="J203" i="8" s="1"/>
  <c r="H204" i="4"/>
  <c r="J204" i="8" s="1"/>
  <c r="H205" i="4"/>
  <c r="J205" i="8" s="1"/>
  <c r="H206" i="4"/>
  <c r="J206" i="8" s="1"/>
  <c r="H207" i="4"/>
  <c r="J207" i="8" s="1"/>
  <c r="H208" i="4"/>
  <c r="J208" i="8" s="1"/>
  <c r="H209" i="4"/>
  <c r="J209" i="8" s="1"/>
  <c r="H210" i="4"/>
  <c r="J210" i="8" s="1"/>
  <c r="H211" i="4"/>
  <c r="J211" i="8" s="1"/>
  <c r="H212" i="4"/>
  <c r="J212" i="8" s="1"/>
  <c r="H213" i="4"/>
  <c r="J213" i="8" s="1"/>
  <c r="H214" i="4"/>
  <c r="J214" i="8" s="1"/>
  <c r="H215" i="4"/>
  <c r="J215" i="8" s="1"/>
  <c r="H216" i="4"/>
  <c r="J216" i="8" s="1"/>
  <c r="H217" i="4"/>
  <c r="J217" i="8" s="1"/>
  <c r="H218" i="4"/>
  <c r="J218" i="8" s="1"/>
  <c r="H219" i="4"/>
  <c r="J219" i="8" s="1"/>
  <c r="H220" i="4"/>
  <c r="J220" i="8" s="1"/>
  <c r="H221" i="4"/>
  <c r="J221" i="8" s="1"/>
  <c r="H222" i="4"/>
  <c r="J222" i="8" s="1"/>
  <c r="H223" i="4"/>
  <c r="J223" i="8" s="1"/>
  <c r="H224" i="4"/>
  <c r="J224" i="8" s="1"/>
  <c r="H225" i="4"/>
  <c r="J225" i="8" s="1"/>
  <c r="H226" i="4"/>
  <c r="J226" i="8" s="1"/>
  <c r="H227" i="4"/>
  <c r="J227" i="8" s="1"/>
  <c r="H228" i="4"/>
  <c r="J228" i="8" s="1"/>
  <c r="H229" i="4"/>
  <c r="J229" i="8" s="1"/>
  <c r="H230" i="4"/>
  <c r="J230" i="8" s="1"/>
  <c r="H231" i="4"/>
  <c r="J231" i="8" s="1"/>
  <c r="H232" i="4"/>
  <c r="J232" i="8" s="1"/>
  <c r="H233" i="4"/>
  <c r="J233" i="8" s="1"/>
  <c r="H234" i="4"/>
  <c r="J234" i="8" s="1"/>
  <c r="H235" i="4"/>
  <c r="J235" i="8" s="1"/>
  <c r="H236" i="4"/>
  <c r="J236" i="8" s="1"/>
  <c r="H237" i="4"/>
  <c r="J237" i="8" s="1"/>
  <c r="H238" i="4"/>
  <c r="J238" i="8" s="1"/>
  <c r="H239" i="4"/>
  <c r="J239" i="8" s="1"/>
  <c r="H240" i="4"/>
  <c r="J240" i="8" s="1"/>
  <c r="H241" i="4"/>
  <c r="J241" i="8" s="1"/>
  <c r="H242" i="4"/>
  <c r="J242" i="8" s="1"/>
  <c r="H243" i="4"/>
  <c r="J243" i="8" s="1"/>
  <c r="H244" i="4"/>
  <c r="J244" i="8" s="1"/>
  <c r="H245" i="4"/>
  <c r="J245" i="8" s="1"/>
  <c r="H246" i="4"/>
  <c r="J246" i="8" s="1"/>
  <c r="H247" i="4"/>
  <c r="J247" i="8" s="1"/>
  <c r="H248" i="4"/>
  <c r="J248" i="8" s="1"/>
  <c r="H249" i="4"/>
  <c r="J249" i="8" s="1"/>
  <c r="H250" i="4"/>
  <c r="J250" i="8" s="1"/>
  <c r="H251" i="4"/>
  <c r="J251" i="8" s="1"/>
  <c r="H252" i="4"/>
  <c r="J252" i="8" s="1"/>
  <c r="H253" i="4"/>
  <c r="J253" i="8" s="1"/>
  <c r="H254" i="4"/>
  <c r="J254" i="8" s="1"/>
  <c r="H255" i="4"/>
  <c r="J255" i="8" s="1"/>
  <c r="H256" i="4"/>
  <c r="J256" i="8" s="1"/>
  <c r="H257" i="4"/>
  <c r="J257" i="8" s="1"/>
  <c r="H258" i="4"/>
  <c r="J258" i="8" s="1"/>
  <c r="H259" i="4"/>
  <c r="J259" i="8" s="1"/>
  <c r="H260" i="4"/>
  <c r="J260" i="8" s="1"/>
  <c r="H261" i="4"/>
  <c r="J261" i="8" s="1"/>
  <c r="H262" i="4"/>
  <c r="J262" i="8" s="1"/>
  <c r="H263" i="4"/>
  <c r="J263" i="8" s="1"/>
  <c r="H264" i="4"/>
  <c r="J264" i="8" s="1"/>
  <c r="H265" i="4"/>
  <c r="J265" i="8" s="1"/>
  <c r="H266" i="4"/>
  <c r="J266" i="8" s="1"/>
  <c r="H267" i="4"/>
  <c r="J267" i="8" s="1"/>
  <c r="H268" i="4"/>
  <c r="J268" i="8" s="1"/>
  <c r="H269" i="4"/>
  <c r="J269" i="8" s="1"/>
  <c r="H270" i="4"/>
  <c r="J270" i="8" s="1"/>
  <c r="H271" i="4"/>
  <c r="J271" i="8" s="1"/>
  <c r="H272" i="4"/>
  <c r="J272" i="8" s="1"/>
  <c r="H273" i="4"/>
  <c r="J273" i="8" s="1"/>
  <c r="H274" i="4"/>
  <c r="J274" i="8" s="1"/>
  <c r="H275" i="4"/>
  <c r="J275" i="8" s="1"/>
  <c r="H276" i="4"/>
  <c r="J276" i="8" s="1"/>
  <c r="H277" i="4"/>
  <c r="J277" i="8" s="1"/>
  <c r="H278" i="4"/>
  <c r="J278" i="8" s="1"/>
  <c r="H279" i="4"/>
  <c r="J279" i="8" s="1"/>
  <c r="H280" i="4"/>
  <c r="J280" i="8" s="1"/>
  <c r="H281" i="4"/>
  <c r="J281" i="8" s="1"/>
  <c r="H282" i="4"/>
  <c r="J282" i="8" s="1"/>
  <c r="H283" i="4"/>
  <c r="J283" i="8" s="1"/>
  <c r="H284" i="4"/>
  <c r="J284" i="8" s="1"/>
  <c r="H285" i="4"/>
  <c r="J285" i="8" s="1"/>
  <c r="H286" i="4"/>
  <c r="J286" i="8" s="1"/>
  <c r="H287" i="4"/>
  <c r="J287" i="8" s="1"/>
  <c r="H288" i="4"/>
  <c r="J288" i="8" s="1"/>
  <c r="H289" i="4"/>
  <c r="J289" i="8" s="1"/>
  <c r="H290" i="4"/>
  <c r="J290" i="8" s="1"/>
  <c r="H291" i="4"/>
  <c r="J291" i="8" s="1"/>
  <c r="H292" i="4"/>
  <c r="J292" i="8" s="1"/>
  <c r="H293" i="4"/>
  <c r="J293" i="8" s="1"/>
  <c r="H294" i="4"/>
  <c r="J294" i="8" s="1"/>
  <c r="H295" i="4"/>
  <c r="J295" i="8" s="1"/>
  <c r="H296" i="4"/>
  <c r="J296" i="8" s="1"/>
  <c r="H297" i="4"/>
  <c r="J297" i="8" s="1"/>
  <c r="H298" i="4"/>
  <c r="J298" i="8" s="1"/>
  <c r="H299" i="4"/>
  <c r="J299" i="8" s="1"/>
  <c r="H300" i="4"/>
  <c r="J300" i="8" s="1"/>
  <c r="H301" i="4"/>
  <c r="J301" i="8" s="1"/>
  <c r="H302" i="4"/>
  <c r="J302" i="8" s="1"/>
  <c r="H303" i="4"/>
  <c r="J303" i="8" s="1"/>
  <c r="H304" i="4"/>
  <c r="J304" i="8" s="1"/>
  <c r="H305" i="4"/>
  <c r="J305" i="8" s="1"/>
  <c r="H306" i="4"/>
  <c r="J306" i="8" s="1"/>
  <c r="H307" i="4"/>
  <c r="J307" i="8" s="1"/>
  <c r="H308" i="4"/>
  <c r="J308" i="8" s="1"/>
  <c r="H309" i="4"/>
  <c r="J309" i="8" s="1"/>
  <c r="H310" i="4"/>
  <c r="J310" i="8" s="1"/>
  <c r="H311" i="4"/>
  <c r="J311" i="8" s="1"/>
  <c r="H312" i="4"/>
  <c r="J312" i="8" s="1"/>
  <c r="H313" i="4"/>
  <c r="J313" i="8" s="1"/>
  <c r="H314" i="4"/>
  <c r="J314" i="8" s="1"/>
  <c r="H315" i="4"/>
  <c r="J315" i="8" s="1"/>
  <c r="H316" i="4"/>
  <c r="J316" i="8" s="1"/>
  <c r="H317" i="4"/>
  <c r="J317" i="8" s="1"/>
  <c r="H318" i="4"/>
  <c r="J318" i="8" s="1"/>
  <c r="H319" i="4"/>
  <c r="J319" i="8" s="1"/>
  <c r="H320" i="4"/>
  <c r="J320" i="8" s="1"/>
  <c r="H321" i="4"/>
  <c r="J321" i="8" s="1"/>
  <c r="G3" i="4"/>
  <c r="I3" i="8" s="1"/>
  <c r="G4" i="4"/>
  <c r="I4" i="8" s="1"/>
  <c r="G5" i="4"/>
  <c r="I5" i="8" s="1"/>
  <c r="G6" i="4"/>
  <c r="I6" i="8" s="1"/>
  <c r="G7" i="4"/>
  <c r="I7" i="8" s="1"/>
  <c r="G8" i="4"/>
  <c r="I8" i="8" s="1"/>
  <c r="G9" i="4"/>
  <c r="I9" i="8" s="1"/>
  <c r="G10" i="4"/>
  <c r="I10" i="8" s="1"/>
  <c r="G11" i="4"/>
  <c r="I11" i="8" s="1"/>
  <c r="G12" i="4"/>
  <c r="I12" i="8" s="1"/>
  <c r="G13" i="4"/>
  <c r="I13" i="8" s="1"/>
  <c r="G14" i="4"/>
  <c r="I14" i="8" s="1"/>
  <c r="G15" i="4"/>
  <c r="I15" i="8" s="1"/>
  <c r="G16" i="4"/>
  <c r="I16" i="8" s="1"/>
  <c r="G17" i="4"/>
  <c r="I17" i="8" s="1"/>
  <c r="G18" i="4"/>
  <c r="I18" i="8" s="1"/>
  <c r="G19" i="4"/>
  <c r="I19" i="8" s="1"/>
  <c r="G20" i="4"/>
  <c r="I20" i="8" s="1"/>
  <c r="G21" i="4"/>
  <c r="I21" i="8" s="1"/>
  <c r="G22" i="4"/>
  <c r="I22" i="8" s="1"/>
  <c r="G23" i="4"/>
  <c r="I23" i="8" s="1"/>
  <c r="G24" i="4"/>
  <c r="I24" i="8" s="1"/>
  <c r="G25" i="4"/>
  <c r="I25" i="8" s="1"/>
  <c r="G26" i="4"/>
  <c r="I26" i="8" s="1"/>
  <c r="G27" i="4"/>
  <c r="I27" i="8" s="1"/>
  <c r="G28" i="4"/>
  <c r="I28" i="8" s="1"/>
  <c r="G29" i="4"/>
  <c r="I29" i="8" s="1"/>
  <c r="G30" i="4"/>
  <c r="I30" i="8" s="1"/>
  <c r="G31" i="4"/>
  <c r="I31" i="8" s="1"/>
  <c r="G32" i="4"/>
  <c r="I32" i="8" s="1"/>
  <c r="G33" i="4"/>
  <c r="I33" i="8" s="1"/>
  <c r="G34" i="4"/>
  <c r="I34" i="8" s="1"/>
  <c r="G35" i="4"/>
  <c r="I35" i="8" s="1"/>
  <c r="G36" i="4"/>
  <c r="I36" i="8" s="1"/>
  <c r="G37" i="4"/>
  <c r="I37" i="8" s="1"/>
  <c r="G38" i="4"/>
  <c r="I38" i="8" s="1"/>
  <c r="G39" i="4"/>
  <c r="I39" i="8" s="1"/>
  <c r="G40" i="4"/>
  <c r="I40" i="8" s="1"/>
  <c r="G41" i="4"/>
  <c r="I41" i="8" s="1"/>
  <c r="G42" i="4"/>
  <c r="I42" i="8" s="1"/>
  <c r="G43" i="4"/>
  <c r="I43" i="8" s="1"/>
  <c r="G44" i="4"/>
  <c r="I44" i="8" s="1"/>
  <c r="G45" i="4"/>
  <c r="I45" i="8" s="1"/>
  <c r="G46" i="4"/>
  <c r="I46" i="8" s="1"/>
  <c r="G47" i="4"/>
  <c r="I47" i="8" s="1"/>
  <c r="G48" i="4"/>
  <c r="I48" i="8" s="1"/>
  <c r="G49" i="4"/>
  <c r="I49" i="8" s="1"/>
  <c r="G50" i="4"/>
  <c r="I50" i="8" s="1"/>
  <c r="G51" i="4"/>
  <c r="I51" i="8" s="1"/>
  <c r="G52" i="4"/>
  <c r="I52" i="8" s="1"/>
  <c r="G53" i="4"/>
  <c r="I53" i="8" s="1"/>
  <c r="G54" i="4"/>
  <c r="I54" i="8" s="1"/>
  <c r="G55" i="4"/>
  <c r="I55" i="8" s="1"/>
  <c r="G56" i="4"/>
  <c r="I56" i="8" s="1"/>
  <c r="G57" i="4"/>
  <c r="I57" i="8" s="1"/>
  <c r="G58" i="4"/>
  <c r="I58" i="8" s="1"/>
  <c r="G59" i="4"/>
  <c r="I59" i="8" s="1"/>
  <c r="G60" i="4"/>
  <c r="I60" i="8" s="1"/>
  <c r="G61" i="4"/>
  <c r="I61" i="8" s="1"/>
  <c r="G62" i="4"/>
  <c r="I62" i="8" s="1"/>
  <c r="G63" i="4"/>
  <c r="I63" i="8" s="1"/>
  <c r="G64" i="4"/>
  <c r="I64" i="8" s="1"/>
  <c r="G65" i="4"/>
  <c r="I65" i="8" s="1"/>
  <c r="G66" i="4"/>
  <c r="I66" i="8" s="1"/>
  <c r="G67" i="4"/>
  <c r="I67" i="8" s="1"/>
  <c r="G68" i="4"/>
  <c r="I68" i="8" s="1"/>
  <c r="G69" i="4"/>
  <c r="I69" i="8" s="1"/>
  <c r="G70" i="4"/>
  <c r="I70" i="8" s="1"/>
  <c r="G71" i="4"/>
  <c r="I71" i="8" s="1"/>
  <c r="G72" i="4"/>
  <c r="I72" i="8" s="1"/>
  <c r="G73" i="4"/>
  <c r="I73" i="8" s="1"/>
  <c r="G74" i="4"/>
  <c r="I74" i="8" s="1"/>
  <c r="G75" i="4"/>
  <c r="I75" i="8" s="1"/>
  <c r="G76" i="4"/>
  <c r="I76" i="8" s="1"/>
  <c r="G77" i="4"/>
  <c r="I77" i="8" s="1"/>
  <c r="G78" i="4"/>
  <c r="I78" i="8" s="1"/>
  <c r="G79" i="4"/>
  <c r="I79" i="8" s="1"/>
  <c r="G80" i="4"/>
  <c r="I80" i="8" s="1"/>
  <c r="G81" i="4"/>
  <c r="I81" i="8" s="1"/>
  <c r="G82" i="4"/>
  <c r="I82" i="8" s="1"/>
  <c r="G83" i="4"/>
  <c r="I83" i="8" s="1"/>
  <c r="G84" i="4"/>
  <c r="I84" i="8" s="1"/>
  <c r="G85" i="4"/>
  <c r="I85" i="8" s="1"/>
  <c r="G86" i="4"/>
  <c r="I86" i="8" s="1"/>
  <c r="G87" i="4"/>
  <c r="I87" i="8" s="1"/>
  <c r="G88" i="4"/>
  <c r="I88" i="8" s="1"/>
  <c r="G89" i="4"/>
  <c r="I89" i="8" s="1"/>
  <c r="G90" i="4"/>
  <c r="I90" i="8" s="1"/>
  <c r="G91" i="4"/>
  <c r="I91" i="8" s="1"/>
  <c r="G92" i="4"/>
  <c r="I92" i="8" s="1"/>
  <c r="G93" i="4"/>
  <c r="I93" i="8" s="1"/>
  <c r="G94" i="4"/>
  <c r="I94" i="8" s="1"/>
  <c r="G95" i="4"/>
  <c r="I95" i="8" s="1"/>
  <c r="G96" i="4"/>
  <c r="I96" i="8" s="1"/>
  <c r="G97" i="4"/>
  <c r="I97" i="8" s="1"/>
  <c r="G98" i="4"/>
  <c r="I98" i="8" s="1"/>
  <c r="G99" i="4"/>
  <c r="I99" i="8" s="1"/>
  <c r="G100" i="4"/>
  <c r="I100" i="8" s="1"/>
  <c r="G101" i="4"/>
  <c r="I101" i="8" s="1"/>
  <c r="G102" i="4"/>
  <c r="I102" i="8" s="1"/>
  <c r="G103" i="4"/>
  <c r="I103" i="8" s="1"/>
  <c r="G104" i="4"/>
  <c r="I104" i="8" s="1"/>
  <c r="G105" i="4"/>
  <c r="I105" i="8" s="1"/>
  <c r="G106" i="4"/>
  <c r="I106" i="8" s="1"/>
  <c r="G107" i="4"/>
  <c r="I107" i="8" s="1"/>
  <c r="G108" i="4"/>
  <c r="I108" i="8" s="1"/>
  <c r="G109" i="4"/>
  <c r="I109" i="8" s="1"/>
  <c r="G110" i="4"/>
  <c r="I110" i="8" s="1"/>
  <c r="G111" i="4"/>
  <c r="I111" i="8" s="1"/>
  <c r="G112" i="4"/>
  <c r="I112" i="8" s="1"/>
  <c r="G113" i="4"/>
  <c r="I113" i="8" s="1"/>
  <c r="G114" i="4"/>
  <c r="I114" i="8" s="1"/>
  <c r="G115" i="4"/>
  <c r="I115" i="8" s="1"/>
  <c r="G116" i="4"/>
  <c r="I116" i="8" s="1"/>
  <c r="G117" i="4"/>
  <c r="I117" i="8" s="1"/>
  <c r="G118" i="4"/>
  <c r="I118" i="8" s="1"/>
  <c r="G119" i="4"/>
  <c r="I119" i="8" s="1"/>
  <c r="G120" i="4"/>
  <c r="I120" i="8" s="1"/>
  <c r="G121" i="4"/>
  <c r="I121" i="8" s="1"/>
  <c r="G122" i="4"/>
  <c r="I122" i="8" s="1"/>
  <c r="G123" i="4"/>
  <c r="I123" i="8" s="1"/>
  <c r="G124" i="4"/>
  <c r="I124" i="8" s="1"/>
  <c r="G125" i="4"/>
  <c r="I125" i="8" s="1"/>
  <c r="G126" i="4"/>
  <c r="I126" i="8" s="1"/>
  <c r="G127" i="4"/>
  <c r="I127" i="8" s="1"/>
  <c r="G128" i="4"/>
  <c r="I128" i="8" s="1"/>
  <c r="G129" i="4"/>
  <c r="I129" i="8" s="1"/>
  <c r="G130" i="4"/>
  <c r="I130" i="8" s="1"/>
  <c r="G131" i="4"/>
  <c r="I131" i="8" s="1"/>
  <c r="G132" i="4"/>
  <c r="I132" i="8" s="1"/>
  <c r="G133" i="4"/>
  <c r="I133" i="8" s="1"/>
  <c r="G134" i="4"/>
  <c r="I134" i="8" s="1"/>
  <c r="G135" i="4"/>
  <c r="I135" i="8" s="1"/>
  <c r="G136" i="4"/>
  <c r="I136" i="8" s="1"/>
  <c r="G137" i="4"/>
  <c r="I137" i="8" s="1"/>
  <c r="G138" i="4"/>
  <c r="I138" i="8" s="1"/>
  <c r="G139" i="4"/>
  <c r="I139" i="8" s="1"/>
  <c r="G140" i="4"/>
  <c r="I140" i="8" s="1"/>
  <c r="G141" i="4"/>
  <c r="I141" i="8" s="1"/>
  <c r="G142" i="4"/>
  <c r="I142" i="8" s="1"/>
  <c r="G143" i="4"/>
  <c r="I143" i="8" s="1"/>
  <c r="G144" i="4"/>
  <c r="I144" i="8" s="1"/>
  <c r="G145" i="4"/>
  <c r="I145" i="8" s="1"/>
  <c r="G146" i="4"/>
  <c r="I146" i="8" s="1"/>
  <c r="G147" i="4"/>
  <c r="I147" i="8" s="1"/>
  <c r="G148" i="4"/>
  <c r="I148" i="8" s="1"/>
  <c r="G149" i="4"/>
  <c r="I149" i="8" s="1"/>
  <c r="G150" i="4"/>
  <c r="I150" i="8" s="1"/>
  <c r="G151" i="4"/>
  <c r="I151" i="8" s="1"/>
  <c r="G152" i="4"/>
  <c r="I152" i="8" s="1"/>
  <c r="G153" i="4"/>
  <c r="I153" i="8" s="1"/>
  <c r="G154" i="4"/>
  <c r="I154" i="8" s="1"/>
  <c r="G155" i="4"/>
  <c r="I155" i="8" s="1"/>
  <c r="G156" i="4"/>
  <c r="I156" i="8" s="1"/>
  <c r="G157" i="4"/>
  <c r="I157" i="8" s="1"/>
  <c r="G158" i="4"/>
  <c r="I158" i="8" s="1"/>
  <c r="G159" i="4"/>
  <c r="I159" i="8" s="1"/>
  <c r="G160" i="4"/>
  <c r="I160" i="8" s="1"/>
  <c r="G161" i="4"/>
  <c r="I161" i="8" s="1"/>
  <c r="G162" i="4"/>
  <c r="I162" i="8" s="1"/>
  <c r="G163" i="4"/>
  <c r="I163" i="8" s="1"/>
  <c r="G164" i="4"/>
  <c r="I164" i="8" s="1"/>
  <c r="G165" i="4"/>
  <c r="I165" i="8" s="1"/>
  <c r="G166" i="4"/>
  <c r="I166" i="8" s="1"/>
  <c r="G167" i="4"/>
  <c r="I167" i="8" s="1"/>
  <c r="G168" i="4"/>
  <c r="I168" i="8" s="1"/>
  <c r="G169" i="4"/>
  <c r="I169" i="8" s="1"/>
  <c r="G170" i="4"/>
  <c r="I170" i="8" s="1"/>
  <c r="G171" i="4"/>
  <c r="I171" i="8" s="1"/>
  <c r="G172" i="4"/>
  <c r="I172" i="8" s="1"/>
  <c r="G173" i="4"/>
  <c r="I173" i="8" s="1"/>
  <c r="G174" i="4"/>
  <c r="I174" i="8" s="1"/>
  <c r="G175" i="4"/>
  <c r="I175" i="8" s="1"/>
  <c r="G176" i="4"/>
  <c r="I176" i="8" s="1"/>
  <c r="G177" i="4"/>
  <c r="I177" i="8" s="1"/>
  <c r="G178" i="4"/>
  <c r="I178" i="8" s="1"/>
  <c r="G179" i="4"/>
  <c r="I179" i="8" s="1"/>
  <c r="G180" i="4"/>
  <c r="I180" i="8" s="1"/>
  <c r="G181" i="4"/>
  <c r="I181" i="8" s="1"/>
  <c r="G182" i="4"/>
  <c r="I182" i="8" s="1"/>
  <c r="G183" i="4"/>
  <c r="I183" i="8" s="1"/>
  <c r="G184" i="4"/>
  <c r="I184" i="8" s="1"/>
  <c r="G185" i="4"/>
  <c r="I185" i="8" s="1"/>
  <c r="G186" i="4"/>
  <c r="I186" i="8" s="1"/>
  <c r="G187" i="4"/>
  <c r="I187" i="8" s="1"/>
  <c r="G188" i="4"/>
  <c r="I188" i="8" s="1"/>
  <c r="G189" i="4"/>
  <c r="I189" i="8" s="1"/>
  <c r="G190" i="4"/>
  <c r="I190" i="8" s="1"/>
  <c r="G191" i="4"/>
  <c r="I191" i="8" s="1"/>
  <c r="G192" i="4"/>
  <c r="I192" i="8" s="1"/>
  <c r="G193" i="4"/>
  <c r="I193" i="8" s="1"/>
  <c r="G194" i="4"/>
  <c r="I194" i="8" s="1"/>
  <c r="G195" i="4"/>
  <c r="I195" i="8" s="1"/>
  <c r="G196" i="4"/>
  <c r="I196" i="8" s="1"/>
  <c r="G197" i="4"/>
  <c r="I197" i="8" s="1"/>
  <c r="G198" i="4"/>
  <c r="I198" i="8" s="1"/>
  <c r="G199" i="4"/>
  <c r="I199" i="8" s="1"/>
  <c r="G200" i="4"/>
  <c r="I200" i="8" s="1"/>
  <c r="G201" i="4"/>
  <c r="I201" i="8" s="1"/>
  <c r="G202" i="4"/>
  <c r="I202" i="8" s="1"/>
  <c r="G203" i="4"/>
  <c r="I203" i="8" s="1"/>
  <c r="G204" i="4"/>
  <c r="I204" i="8" s="1"/>
  <c r="G205" i="4"/>
  <c r="I205" i="8" s="1"/>
  <c r="G206" i="4"/>
  <c r="I206" i="8" s="1"/>
  <c r="G207" i="4"/>
  <c r="I207" i="8" s="1"/>
  <c r="G208" i="4"/>
  <c r="I208" i="8" s="1"/>
  <c r="G209" i="4"/>
  <c r="I209" i="8" s="1"/>
  <c r="G210" i="4"/>
  <c r="I210" i="8" s="1"/>
  <c r="G211" i="4"/>
  <c r="I211" i="8" s="1"/>
  <c r="G212" i="4"/>
  <c r="I212" i="8" s="1"/>
  <c r="G213" i="4"/>
  <c r="I213" i="8" s="1"/>
  <c r="G214" i="4"/>
  <c r="I214" i="8" s="1"/>
  <c r="G215" i="4"/>
  <c r="I215" i="8" s="1"/>
  <c r="G216" i="4"/>
  <c r="I216" i="8" s="1"/>
  <c r="G217" i="4"/>
  <c r="I217" i="8" s="1"/>
  <c r="G218" i="4"/>
  <c r="I218" i="8" s="1"/>
  <c r="G219" i="4"/>
  <c r="I219" i="8" s="1"/>
  <c r="G220" i="4"/>
  <c r="I220" i="8" s="1"/>
  <c r="G221" i="4"/>
  <c r="I221" i="8" s="1"/>
  <c r="G222" i="4"/>
  <c r="I222" i="8" s="1"/>
  <c r="G223" i="4"/>
  <c r="I223" i="8" s="1"/>
  <c r="G224" i="4"/>
  <c r="I224" i="8" s="1"/>
  <c r="G225" i="4"/>
  <c r="I225" i="8" s="1"/>
  <c r="G226" i="4"/>
  <c r="I226" i="8" s="1"/>
  <c r="G227" i="4"/>
  <c r="I227" i="8" s="1"/>
  <c r="G228" i="4"/>
  <c r="I228" i="8" s="1"/>
  <c r="G229" i="4"/>
  <c r="I229" i="8" s="1"/>
  <c r="G230" i="4"/>
  <c r="I230" i="8" s="1"/>
  <c r="G231" i="4"/>
  <c r="I231" i="8" s="1"/>
  <c r="G232" i="4"/>
  <c r="I232" i="8" s="1"/>
  <c r="G233" i="4"/>
  <c r="I233" i="8" s="1"/>
  <c r="G234" i="4"/>
  <c r="I234" i="8" s="1"/>
  <c r="G235" i="4"/>
  <c r="I235" i="8" s="1"/>
  <c r="G236" i="4"/>
  <c r="I236" i="8" s="1"/>
  <c r="G237" i="4"/>
  <c r="I237" i="8" s="1"/>
  <c r="G238" i="4"/>
  <c r="I238" i="8" s="1"/>
  <c r="G239" i="4"/>
  <c r="I239" i="8" s="1"/>
  <c r="G240" i="4"/>
  <c r="I240" i="8" s="1"/>
  <c r="G241" i="4"/>
  <c r="I241" i="8" s="1"/>
  <c r="G242" i="4"/>
  <c r="I242" i="8" s="1"/>
  <c r="G243" i="4"/>
  <c r="I243" i="8" s="1"/>
  <c r="G244" i="4"/>
  <c r="I244" i="8" s="1"/>
  <c r="G245" i="4"/>
  <c r="I245" i="8" s="1"/>
  <c r="G246" i="4"/>
  <c r="I246" i="8" s="1"/>
  <c r="G247" i="4"/>
  <c r="I247" i="8" s="1"/>
  <c r="G248" i="4"/>
  <c r="I248" i="8" s="1"/>
  <c r="G249" i="4"/>
  <c r="I249" i="8" s="1"/>
  <c r="G250" i="4"/>
  <c r="I250" i="8" s="1"/>
  <c r="G251" i="4"/>
  <c r="I251" i="8" s="1"/>
  <c r="G252" i="4"/>
  <c r="I252" i="8" s="1"/>
  <c r="G253" i="4"/>
  <c r="I253" i="8" s="1"/>
  <c r="G254" i="4"/>
  <c r="I254" i="8" s="1"/>
  <c r="G255" i="4"/>
  <c r="I255" i="8" s="1"/>
  <c r="G256" i="4"/>
  <c r="I256" i="8" s="1"/>
  <c r="G257" i="4"/>
  <c r="I257" i="8" s="1"/>
  <c r="G258" i="4"/>
  <c r="I258" i="8" s="1"/>
  <c r="G259" i="4"/>
  <c r="I259" i="8" s="1"/>
  <c r="G260" i="4"/>
  <c r="I260" i="8" s="1"/>
  <c r="G261" i="4"/>
  <c r="I261" i="8" s="1"/>
  <c r="G262" i="4"/>
  <c r="I262" i="8" s="1"/>
  <c r="G263" i="4"/>
  <c r="I263" i="8" s="1"/>
  <c r="G264" i="4"/>
  <c r="I264" i="8" s="1"/>
  <c r="G265" i="4"/>
  <c r="I265" i="8" s="1"/>
  <c r="G266" i="4"/>
  <c r="I266" i="8" s="1"/>
  <c r="G267" i="4"/>
  <c r="I267" i="8" s="1"/>
  <c r="G268" i="4"/>
  <c r="I268" i="8" s="1"/>
  <c r="G269" i="4"/>
  <c r="I269" i="8" s="1"/>
  <c r="G270" i="4"/>
  <c r="I270" i="8" s="1"/>
  <c r="G271" i="4"/>
  <c r="I271" i="8" s="1"/>
  <c r="G272" i="4"/>
  <c r="I272" i="8" s="1"/>
  <c r="G273" i="4"/>
  <c r="I273" i="8" s="1"/>
  <c r="G274" i="4"/>
  <c r="I274" i="8" s="1"/>
  <c r="G275" i="4"/>
  <c r="I275" i="8" s="1"/>
  <c r="G276" i="4"/>
  <c r="I276" i="8" s="1"/>
  <c r="G277" i="4"/>
  <c r="I277" i="8" s="1"/>
  <c r="G278" i="4"/>
  <c r="I278" i="8" s="1"/>
  <c r="G279" i="4"/>
  <c r="I279" i="8" s="1"/>
  <c r="G280" i="4"/>
  <c r="I280" i="8" s="1"/>
  <c r="G281" i="4"/>
  <c r="I281" i="8" s="1"/>
  <c r="G282" i="4"/>
  <c r="I282" i="8" s="1"/>
  <c r="G283" i="4"/>
  <c r="I283" i="8" s="1"/>
  <c r="G284" i="4"/>
  <c r="I284" i="8" s="1"/>
  <c r="G285" i="4"/>
  <c r="I285" i="8" s="1"/>
  <c r="G286" i="4"/>
  <c r="I286" i="8" s="1"/>
  <c r="G287" i="4"/>
  <c r="I287" i="8" s="1"/>
  <c r="G288" i="4"/>
  <c r="I288" i="8" s="1"/>
  <c r="G289" i="4"/>
  <c r="I289" i="8" s="1"/>
  <c r="G290" i="4"/>
  <c r="I290" i="8" s="1"/>
  <c r="G291" i="4"/>
  <c r="I291" i="8" s="1"/>
  <c r="G292" i="4"/>
  <c r="I292" i="8" s="1"/>
  <c r="G293" i="4"/>
  <c r="I293" i="8" s="1"/>
  <c r="G294" i="4"/>
  <c r="I294" i="8" s="1"/>
  <c r="G295" i="4"/>
  <c r="I295" i="8" s="1"/>
  <c r="G296" i="4"/>
  <c r="I296" i="8" s="1"/>
  <c r="G297" i="4"/>
  <c r="I297" i="8" s="1"/>
  <c r="G298" i="4"/>
  <c r="I298" i="8" s="1"/>
  <c r="G299" i="4"/>
  <c r="I299" i="8" s="1"/>
  <c r="G300" i="4"/>
  <c r="I300" i="8" s="1"/>
  <c r="G301" i="4"/>
  <c r="I301" i="8" s="1"/>
  <c r="G302" i="4"/>
  <c r="I302" i="8" s="1"/>
  <c r="G303" i="4"/>
  <c r="I303" i="8" s="1"/>
  <c r="G304" i="4"/>
  <c r="I304" i="8" s="1"/>
  <c r="G305" i="4"/>
  <c r="I305" i="8" s="1"/>
  <c r="G306" i="4"/>
  <c r="I306" i="8" s="1"/>
  <c r="G307" i="4"/>
  <c r="I307" i="8" s="1"/>
  <c r="G308" i="4"/>
  <c r="I308" i="8" s="1"/>
  <c r="G309" i="4"/>
  <c r="I309" i="8" s="1"/>
  <c r="G310" i="4"/>
  <c r="I310" i="8" s="1"/>
  <c r="G311" i="4"/>
  <c r="I311" i="8" s="1"/>
  <c r="G312" i="4"/>
  <c r="I312" i="8" s="1"/>
  <c r="G313" i="4"/>
  <c r="I313" i="8" s="1"/>
  <c r="G314" i="4"/>
  <c r="I314" i="8" s="1"/>
  <c r="G315" i="4"/>
  <c r="I315" i="8" s="1"/>
  <c r="G316" i="4"/>
  <c r="I316" i="8" s="1"/>
  <c r="G317" i="4"/>
  <c r="I317" i="8" s="1"/>
  <c r="G318" i="4"/>
  <c r="I318" i="8" s="1"/>
  <c r="G319" i="4"/>
  <c r="I319" i="8" s="1"/>
  <c r="G320" i="4"/>
  <c r="I320" i="8" s="1"/>
  <c r="G321" i="4"/>
  <c r="I321" i="8" s="1"/>
  <c r="H2" i="4"/>
  <c r="J2" i="8" s="1"/>
  <c r="G2" i="4"/>
  <c r="I2" i="8" s="1"/>
  <c r="F3" i="4"/>
  <c r="F4" i="4"/>
  <c r="E3" i="12" s="1"/>
  <c r="F3" i="12" s="1"/>
  <c r="F5" i="4"/>
  <c r="E2" i="12" s="1"/>
  <c r="F2" i="12" s="1"/>
  <c r="F6" i="4"/>
  <c r="F7" i="4"/>
  <c r="F8" i="4"/>
  <c r="F9" i="4"/>
  <c r="F10" i="4"/>
  <c r="F11" i="4"/>
  <c r="F12" i="4"/>
  <c r="E10" i="12" s="1"/>
  <c r="F10" i="12" s="1"/>
  <c r="F13" i="4"/>
  <c r="E12" i="12" s="1"/>
  <c r="F12" i="12" s="1"/>
  <c r="F14" i="4"/>
  <c r="F15" i="4"/>
  <c r="F16" i="4"/>
  <c r="F17" i="4"/>
  <c r="F18" i="4"/>
  <c r="F19" i="4"/>
  <c r="F20" i="4"/>
  <c r="E18" i="12" s="1"/>
  <c r="F18" i="12" s="1"/>
  <c r="F21" i="4"/>
  <c r="E21" i="12" s="1"/>
  <c r="F21" i="12" s="1"/>
  <c r="F22" i="4"/>
  <c r="F23" i="4"/>
  <c r="F24" i="4"/>
  <c r="F25" i="4"/>
  <c r="F26" i="4"/>
  <c r="F27" i="4"/>
  <c r="F28" i="4"/>
  <c r="E28" i="12" s="1"/>
  <c r="F28" i="12" s="1"/>
  <c r="F29" i="4"/>
  <c r="E29" i="12" s="1"/>
  <c r="F29" i="12" s="1"/>
  <c r="F30" i="4"/>
  <c r="F31" i="4"/>
  <c r="F32" i="4"/>
  <c r="F33" i="4"/>
  <c r="F34" i="4"/>
  <c r="F35" i="4"/>
  <c r="F36" i="4"/>
  <c r="E37" i="12" s="1"/>
  <c r="F37" i="12" s="1"/>
  <c r="F37" i="4"/>
  <c r="E36" i="12" s="1"/>
  <c r="F36" i="12" s="1"/>
  <c r="F38" i="4"/>
  <c r="F39" i="4"/>
  <c r="F40" i="4"/>
  <c r="F41" i="4"/>
  <c r="F42" i="4"/>
  <c r="F43" i="4"/>
  <c r="F44" i="4"/>
  <c r="E45" i="12" s="1"/>
  <c r="F45" i="12" s="1"/>
  <c r="F45" i="4"/>
  <c r="E43" i="12" s="1"/>
  <c r="F43" i="12" s="1"/>
  <c r="F46" i="4"/>
  <c r="F47" i="4"/>
  <c r="F48" i="4"/>
  <c r="F49" i="4"/>
  <c r="F50" i="4"/>
  <c r="F51" i="4"/>
  <c r="F52" i="4"/>
  <c r="E52" i="12" s="1"/>
  <c r="F52" i="12" s="1"/>
  <c r="F53" i="4"/>
  <c r="E53" i="12" s="1"/>
  <c r="F53" i="12" s="1"/>
  <c r="F54" i="4"/>
  <c r="F55" i="4"/>
  <c r="F56" i="4"/>
  <c r="F57" i="4"/>
  <c r="F58" i="4"/>
  <c r="F59" i="4"/>
  <c r="F60" i="4"/>
  <c r="E59" i="12" s="1"/>
  <c r="F59" i="12" s="1"/>
  <c r="F61" i="4"/>
  <c r="E58" i="12" s="1"/>
  <c r="F58" i="12" s="1"/>
  <c r="F62" i="4"/>
  <c r="F63" i="4"/>
  <c r="F64" i="4"/>
  <c r="F65" i="4"/>
  <c r="F66" i="4"/>
  <c r="F67" i="4"/>
  <c r="F68" i="4"/>
  <c r="E66" i="12" s="1"/>
  <c r="F66" i="12" s="1"/>
  <c r="F69" i="4"/>
  <c r="E69" i="12" s="1"/>
  <c r="F69" i="12" s="1"/>
  <c r="F70" i="4"/>
  <c r="F71" i="4"/>
  <c r="F72" i="4"/>
  <c r="F73" i="4"/>
  <c r="F74" i="4"/>
  <c r="F75" i="4"/>
  <c r="F76" i="4"/>
  <c r="E77" i="12" s="1"/>
  <c r="F77" i="12" s="1"/>
  <c r="F77" i="4"/>
  <c r="E75" i="12" s="1"/>
  <c r="F75" i="12" s="1"/>
  <c r="F78" i="4"/>
  <c r="F79" i="4"/>
  <c r="F80" i="4"/>
  <c r="F81" i="4"/>
  <c r="F82" i="4"/>
  <c r="F83" i="4"/>
  <c r="F84" i="4"/>
  <c r="E85" i="12" s="1"/>
  <c r="F85" i="12" s="1"/>
  <c r="F85" i="4"/>
  <c r="E83" i="12" s="1"/>
  <c r="F83" i="12" s="1"/>
  <c r="F86" i="4"/>
  <c r="F87" i="4"/>
  <c r="F88" i="4"/>
  <c r="F89" i="4"/>
  <c r="F90" i="4"/>
  <c r="F91" i="4"/>
  <c r="F92" i="4"/>
  <c r="E91" i="12" s="1"/>
  <c r="F91" i="12" s="1"/>
  <c r="F93" i="4"/>
  <c r="E93" i="12" s="1"/>
  <c r="F93" i="12" s="1"/>
  <c r="F94" i="4"/>
  <c r="F95" i="4"/>
  <c r="F96" i="4"/>
  <c r="F97" i="4"/>
  <c r="F98" i="4"/>
  <c r="F99" i="4"/>
  <c r="F100" i="4"/>
  <c r="E98" i="12" s="1"/>
  <c r="F98" i="12" s="1"/>
  <c r="F101" i="4"/>
  <c r="E100" i="12" s="1"/>
  <c r="F100" i="12" s="1"/>
  <c r="F102" i="4"/>
  <c r="F103" i="4"/>
  <c r="F104" i="4"/>
  <c r="F105" i="4"/>
  <c r="F106" i="4"/>
  <c r="F107" i="4"/>
  <c r="F108" i="4"/>
  <c r="E109" i="12" s="1"/>
  <c r="F109" i="12" s="1"/>
  <c r="F109" i="4"/>
  <c r="E107" i="12" s="1"/>
  <c r="F107" i="12" s="1"/>
  <c r="F110" i="4"/>
  <c r="F111" i="4"/>
  <c r="F112" i="4"/>
  <c r="F113" i="4"/>
  <c r="F114" i="4"/>
  <c r="E117" i="12" s="1"/>
  <c r="F117" i="12" s="1"/>
  <c r="F115" i="4"/>
  <c r="F116" i="4"/>
  <c r="E114" i="12" s="1"/>
  <c r="F114" i="12" s="1"/>
  <c r="F117" i="4"/>
  <c r="E115" i="12" s="1"/>
  <c r="F115" i="12" s="1"/>
  <c r="F118" i="4"/>
  <c r="F119" i="4"/>
  <c r="F120" i="4"/>
  <c r="F121" i="4"/>
  <c r="F122" i="4"/>
  <c r="E123" i="12" s="1"/>
  <c r="F123" i="12" s="1"/>
  <c r="F123" i="4"/>
  <c r="F124" i="4"/>
  <c r="E124" i="12" s="1"/>
  <c r="F124" i="12" s="1"/>
  <c r="F125" i="4"/>
  <c r="E122" i="12" s="1"/>
  <c r="F122" i="12" s="1"/>
  <c r="F126" i="4"/>
  <c r="F127" i="4"/>
  <c r="F128" i="4"/>
  <c r="F129" i="4"/>
  <c r="F130" i="4"/>
  <c r="E133" i="12" s="1"/>
  <c r="F133" i="12" s="1"/>
  <c r="F131" i="4"/>
  <c r="F132" i="4"/>
  <c r="E130" i="12" s="1"/>
  <c r="F130" i="12" s="1"/>
  <c r="F133" i="4"/>
  <c r="E131" i="12" s="1"/>
  <c r="F131" i="12" s="1"/>
  <c r="F134" i="4"/>
  <c r="F135" i="4"/>
  <c r="F136" i="4"/>
  <c r="F137" i="4"/>
  <c r="F138" i="4"/>
  <c r="E138" i="12" s="1"/>
  <c r="F138" i="12" s="1"/>
  <c r="F139" i="4"/>
  <c r="F140" i="4"/>
  <c r="E141" i="12" s="1"/>
  <c r="F141" i="12" s="1"/>
  <c r="F141" i="4"/>
  <c r="E139" i="12" s="1"/>
  <c r="F139" i="12" s="1"/>
  <c r="F142" i="4"/>
  <c r="F143" i="4"/>
  <c r="F144" i="4"/>
  <c r="F145" i="4"/>
  <c r="F146" i="4"/>
  <c r="E146" i="12" s="1"/>
  <c r="F146" i="12" s="1"/>
  <c r="F147" i="4"/>
  <c r="F148" i="4"/>
  <c r="E148" i="12" s="1"/>
  <c r="F148" i="12" s="1"/>
  <c r="F149" i="4"/>
  <c r="E149" i="12" s="1"/>
  <c r="F149" i="12" s="1"/>
  <c r="F150" i="4"/>
  <c r="F151" i="4"/>
  <c r="F152" i="4"/>
  <c r="F153" i="4"/>
  <c r="F154" i="4"/>
  <c r="E155" i="12" s="1"/>
  <c r="F155" i="12" s="1"/>
  <c r="F155" i="4"/>
  <c r="F156" i="4"/>
  <c r="E154" i="12" s="1"/>
  <c r="F154" i="12" s="1"/>
  <c r="F157" i="4"/>
  <c r="E156" i="12" s="1"/>
  <c r="F156" i="12" s="1"/>
  <c r="F158" i="4"/>
  <c r="F159" i="4"/>
  <c r="F160" i="4"/>
  <c r="F161" i="4"/>
  <c r="F162" i="4"/>
  <c r="E162" i="12" s="1"/>
  <c r="F162" i="12" s="1"/>
  <c r="F163" i="4"/>
  <c r="F164" i="4"/>
  <c r="E164" i="12" s="1"/>
  <c r="F164" i="12" s="1"/>
  <c r="F165" i="4"/>
  <c r="E163" i="12" s="1"/>
  <c r="F163" i="12" s="1"/>
  <c r="F166" i="4"/>
  <c r="F167" i="4"/>
  <c r="F168" i="4"/>
  <c r="F169" i="4"/>
  <c r="F170" i="4"/>
  <c r="E171" i="12" s="1"/>
  <c r="F171" i="12" s="1"/>
  <c r="F171" i="4"/>
  <c r="F172" i="4"/>
  <c r="E173" i="12" s="1"/>
  <c r="F173" i="12" s="1"/>
  <c r="F173" i="4"/>
  <c r="E172" i="12" s="1"/>
  <c r="F172" i="12" s="1"/>
  <c r="F174" i="4"/>
  <c r="F175" i="4"/>
  <c r="F176" i="4"/>
  <c r="F177" i="4"/>
  <c r="F178" i="4"/>
  <c r="E178" i="12" s="1"/>
  <c r="F178" i="12" s="1"/>
  <c r="F179" i="4"/>
  <c r="F180" i="4"/>
  <c r="E179" i="12" s="1"/>
  <c r="F179" i="12" s="1"/>
  <c r="F181" i="4"/>
  <c r="E180" i="12" s="1"/>
  <c r="F180" i="12" s="1"/>
  <c r="F182" i="4"/>
  <c r="F183" i="4"/>
  <c r="F184" i="4"/>
  <c r="F185" i="4"/>
  <c r="F186" i="4"/>
  <c r="E186" i="12" s="1"/>
  <c r="F186" i="12" s="1"/>
  <c r="F187" i="4"/>
  <c r="F188" i="4"/>
  <c r="E189" i="12" s="1"/>
  <c r="F189" i="12" s="1"/>
  <c r="F189" i="4"/>
  <c r="E187" i="12" s="1"/>
  <c r="F187" i="12" s="1"/>
  <c r="F190" i="4"/>
  <c r="F191" i="4"/>
  <c r="F192" i="4"/>
  <c r="F193" i="4"/>
  <c r="F194" i="4"/>
  <c r="E195" i="12" s="1"/>
  <c r="F195" i="12" s="1"/>
  <c r="F195" i="4"/>
  <c r="F196" i="4"/>
  <c r="E197" i="12" s="1"/>
  <c r="F197" i="12" s="1"/>
  <c r="F197" i="4"/>
  <c r="E194" i="12" s="1"/>
  <c r="F194" i="12" s="1"/>
  <c r="F198" i="4"/>
  <c r="F199" i="4"/>
  <c r="F200" i="4"/>
  <c r="F201" i="4"/>
  <c r="F202" i="4"/>
  <c r="E203" i="12" s="1"/>
  <c r="F203" i="12" s="1"/>
  <c r="F203" i="4"/>
  <c r="F204" i="4"/>
  <c r="E202" i="12" s="1"/>
  <c r="F202" i="12" s="1"/>
  <c r="F205" i="4"/>
  <c r="E204" i="12" s="1"/>
  <c r="F204" i="12" s="1"/>
  <c r="F206" i="4"/>
  <c r="F207" i="4"/>
  <c r="F208" i="4"/>
  <c r="F209" i="4"/>
  <c r="F210" i="4"/>
  <c r="E213" i="12" s="1"/>
  <c r="F213" i="12" s="1"/>
  <c r="F211" i="4"/>
  <c r="F212" i="4"/>
  <c r="E211" i="12" s="1"/>
  <c r="F211" i="12" s="1"/>
  <c r="F213" i="4"/>
  <c r="E212" i="12" s="1"/>
  <c r="F212" i="12" s="1"/>
  <c r="F214" i="4"/>
  <c r="F215" i="4"/>
  <c r="F216" i="4"/>
  <c r="F217" i="4"/>
  <c r="F218" i="4"/>
  <c r="E220" i="12" s="1"/>
  <c r="F220" i="12" s="1"/>
  <c r="F219" i="4"/>
  <c r="F220" i="4"/>
  <c r="E221" i="12" s="1"/>
  <c r="F221" i="12" s="1"/>
  <c r="F221" i="4"/>
  <c r="E219" i="12" s="1"/>
  <c r="F219" i="12" s="1"/>
  <c r="F222" i="4"/>
  <c r="F223" i="4"/>
  <c r="F224" i="4"/>
  <c r="F225" i="4"/>
  <c r="F226" i="4"/>
  <c r="E229" i="12" s="1"/>
  <c r="F229" i="12" s="1"/>
  <c r="F227" i="4"/>
  <c r="F228" i="4"/>
  <c r="E226" i="12" s="1"/>
  <c r="F226" i="12" s="1"/>
  <c r="F229" i="4"/>
  <c r="E228" i="12" s="1"/>
  <c r="F228" i="12" s="1"/>
  <c r="F230" i="4"/>
  <c r="F231" i="4"/>
  <c r="F232" i="4"/>
  <c r="F233" i="4"/>
  <c r="F234" i="4"/>
  <c r="E236" i="12" s="1"/>
  <c r="F236" i="12" s="1"/>
  <c r="F235" i="4"/>
  <c r="F236" i="4"/>
  <c r="E235" i="12" s="1"/>
  <c r="F235" i="12" s="1"/>
  <c r="F237" i="4"/>
  <c r="E234" i="12" s="1"/>
  <c r="F234" i="12" s="1"/>
  <c r="F238" i="4"/>
  <c r="F239" i="4"/>
  <c r="F240" i="4"/>
  <c r="F241" i="4"/>
  <c r="F242" i="4"/>
  <c r="E245" i="12" s="1"/>
  <c r="F245" i="12" s="1"/>
  <c r="F243" i="4"/>
  <c r="F244" i="4"/>
  <c r="E243" i="12" s="1"/>
  <c r="F243" i="12" s="1"/>
  <c r="F245" i="4"/>
  <c r="E242" i="12" s="1"/>
  <c r="F242" i="12" s="1"/>
  <c r="F246" i="4"/>
  <c r="F247" i="4"/>
  <c r="F248" i="4"/>
  <c r="F249" i="4"/>
  <c r="F250" i="4"/>
  <c r="E252" i="12" s="1"/>
  <c r="F252" i="12" s="1"/>
  <c r="F251" i="4"/>
  <c r="F252" i="4"/>
  <c r="E251" i="12" s="1"/>
  <c r="F251" i="12" s="1"/>
  <c r="F253" i="4"/>
  <c r="E253" i="12" s="1"/>
  <c r="F253" i="12" s="1"/>
  <c r="F254" i="4"/>
  <c r="F255" i="4"/>
  <c r="F256" i="4"/>
  <c r="F257" i="4"/>
  <c r="F258" i="4"/>
  <c r="E261" i="12" s="1"/>
  <c r="F261" i="12" s="1"/>
  <c r="F259" i="4"/>
  <c r="F260" i="4"/>
  <c r="E258" i="12" s="1"/>
  <c r="F258" i="12" s="1"/>
  <c r="F261" i="4"/>
  <c r="E260" i="12" s="1"/>
  <c r="F260" i="12" s="1"/>
  <c r="F262" i="4"/>
  <c r="F263" i="4"/>
  <c r="F264" i="4"/>
  <c r="F265" i="4"/>
  <c r="F266" i="4"/>
  <c r="E266" i="12" s="1"/>
  <c r="F266" i="12" s="1"/>
  <c r="F267" i="4"/>
  <c r="F268" i="4"/>
  <c r="E267" i="12" s="1"/>
  <c r="F267" i="12" s="1"/>
  <c r="F269" i="4"/>
  <c r="E269" i="12" s="1"/>
  <c r="F269" i="12" s="1"/>
  <c r="F270" i="4"/>
  <c r="F271" i="4"/>
  <c r="F272" i="4"/>
  <c r="F273" i="4"/>
  <c r="F274" i="4"/>
  <c r="E275" i="12" s="1"/>
  <c r="F275" i="12" s="1"/>
  <c r="F275" i="4"/>
  <c r="F276" i="4"/>
  <c r="E274" i="12" s="1"/>
  <c r="F274" i="12" s="1"/>
  <c r="F277" i="4"/>
  <c r="E277" i="12" s="1"/>
  <c r="F277" i="12" s="1"/>
  <c r="F278" i="4"/>
  <c r="F279" i="4"/>
  <c r="F280" i="4"/>
  <c r="F281" i="4"/>
  <c r="F282" i="4"/>
  <c r="E282" i="12" s="1"/>
  <c r="F282" i="12" s="1"/>
  <c r="F283" i="4"/>
  <c r="F284" i="4"/>
  <c r="E285" i="12" s="1"/>
  <c r="F285" i="12" s="1"/>
  <c r="F285" i="4"/>
  <c r="E284" i="12" s="1"/>
  <c r="F284" i="12" s="1"/>
  <c r="F286" i="4"/>
  <c r="F287" i="4"/>
  <c r="F288" i="4"/>
  <c r="F289" i="4"/>
  <c r="F290" i="4"/>
  <c r="E292" i="12" s="1"/>
  <c r="F292" i="12" s="1"/>
  <c r="F291" i="4"/>
  <c r="F292" i="4"/>
  <c r="E293" i="12" s="1"/>
  <c r="F293" i="12" s="1"/>
  <c r="F293" i="4"/>
  <c r="E291" i="12" s="1"/>
  <c r="F291" i="12" s="1"/>
  <c r="F294" i="4"/>
  <c r="F295" i="4"/>
  <c r="F296" i="4"/>
  <c r="F297" i="4"/>
  <c r="F298" i="4"/>
  <c r="E300" i="12" s="1"/>
  <c r="F300" i="12" s="1"/>
  <c r="F299" i="4"/>
  <c r="F300" i="4"/>
  <c r="E299" i="12" s="1"/>
  <c r="F299" i="12" s="1"/>
  <c r="F301" i="4"/>
  <c r="E298" i="12" s="1"/>
  <c r="F298" i="12" s="1"/>
  <c r="F302" i="4"/>
  <c r="F303" i="4"/>
  <c r="F304" i="4"/>
  <c r="F305" i="4"/>
  <c r="F306" i="4"/>
  <c r="E309" i="12" s="1"/>
  <c r="F309" i="12" s="1"/>
  <c r="F307" i="4"/>
  <c r="E306" i="12" s="1"/>
  <c r="F306" i="12" s="1"/>
  <c r="F308" i="4"/>
  <c r="E308" i="12" s="1"/>
  <c r="F308" i="12" s="1"/>
  <c r="F309" i="4"/>
  <c r="E307" i="12" s="1"/>
  <c r="F307" i="12" s="1"/>
  <c r="F310" i="4"/>
  <c r="F311" i="4"/>
  <c r="F312" i="4"/>
  <c r="F313" i="4"/>
  <c r="F314" i="4"/>
  <c r="E317" i="12" s="1"/>
  <c r="F317" i="12" s="1"/>
  <c r="F315" i="4"/>
  <c r="E314" i="12" s="1"/>
  <c r="F314" i="12" s="1"/>
  <c r="F316" i="4"/>
  <c r="E315" i="12" s="1"/>
  <c r="F315" i="12" s="1"/>
  <c r="F317" i="4"/>
  <c r="E316" i="12" s="1"/>
  <c r="F316" i="12" s="1"/>
  <c r="F318" i="4"/>
  <c r="F319" i="4"/>
  <c r="F320" i="4"/>
  <c r="F321" i="4"/>
  <c r="F2" i="4"/>
  <c r="E5" i="12" s="1"/>
  <c r="F5" i="12" s="1"/>
  <c r="E301" i="12" l="1"/>
  <c r="F301" i="12" s="1"/>
  <c r="H299" i="8"/>
  <c r="E290" i="12"/>
  <c r="F290" i="12" s="1"/>
  <c r="H291" i="8"/>
  <c r="E283" i="12"/>
  <c r="F283" i="12" s="1"/>
  <c r="H283" i="8"/>
  <c r="E276" i="12"/>
  <c r="F276" i="12" s="1"/>
  <c r="H275" i="8"/>
  <c r="E268" i="12"/>
  <c r="F268" i="12" s="1"/>
  <c r="H267" i="8"/>
  <c r="E259" i="12"/>
  <c r="F259" i="12" s="1"/>
  <c r="H259" i="8"/>
  <c r="E250" i="12"/>
  <c r="F250" i="12" s="1"/>
  <c r="H251" i="8"/>
  <c r="E244" i="12"/>
  <c r="F244" i="12" s="1"/>
  <c r="H243" i="8"/>
  <c r="E237" i="12"/>
  <c r="F237" i="12" s="1"/>
  <c r="H235" i="8"/>
  <c r="E227" i="12"/>
  <c r="F227" i="12" s="1"/>
  <c r="H227" i="8"/>
  <c r="E218" i="12"/>
  <c r="F218" i="12" s="1"/>
  <c r="H219" i="8"/>
  <c r="E210" i="12"/>
  <c r="F210" i="12" s="1"/>
  <c r="H211" i="8"/>
  <c r="E205" i="12"/>
  <c r="F205" i="12" s="1"/>
  <c r="H203" i="8"/>
  <c r="E196" i="12"/>
  <c r="F196" i="12" s="1"/>
  <c r="H195" i="8"/>
  <c r="E188" i="12"/>
  <c r="F188" i="12" s="1"/>
  <c r="H187" i="8"/>
  <c r="E181" i="12"/>
  <c r="F181" i="12" s="1"/>
  <c r="H179" i="8"/>
  <c r="E170" i="12"/>
  <c r="F170" i="12" s="1"/>
  <c r="H171" i="8"/>
  <c r="E165" i="12"/>
  <c r="F165" i="12" s="1"/>
  <c r="H163" i="8"/>
  <c r="E157" i="12"/>
  <c r="F157" i="12" s="1"/>
  <c r="H155" i="8"/>
  <c r="E147" i="12"/>
  <c r="F147" i="12" s="1"/>
  <c r="H147" i="8"/>
  <c r="E140" i="12"/>
  <c r="F140" i="12" s="1"/>
  <c r="H139" i="8"/>
  <c r="E132" i="12"/>
  <c r="F132" i="12" s="1"/>
  <c r="H131" i="8"/>
  <c r="E125" i="12"/>
  <c r="F125" i="12" s="1"/>
  <c r="H123" i="8"/>
  <c r="E116" i="12"/>
  <c r="F116" i="12" s="1"/>
  <c r="H115" i="8"/>
  <c r="E106" i="12"/>
  <c r="F106" i="12" s="1"/>
  <c r="H107" i="8"/>
  <c r="E101" i="12"/>
  <c r="F101" i="12" s="1"/>
  <c r="H99" i="8"/>
  <c r="E90" i="12"/>
  <c r="F90" i="12" s="1"/>
  <c r="H91" i="8"/>
  <c r="E84" i="12"/>
  <c r="F84" i="12" s="1"/>
  <c r="H83" i="8"/>
  <c r="E74" i="12"/>
  <c r="F74" i="12" s="1"/>
  <c r="H75" i="8"/>
  <c r="E68" i="12"/>
  <c r="F68" i="12" s="1"/>
  <c r="H67" i="8"/>
  <c r="E60" i="12"/>
  <c r="F60" i="12" s="1"/>
  <c r="H59" i="8"/>
  <c r="E51" i="12"/>
  <c r="F51" i="12" s="1"/>
  <c r="H51" i="8"/>
  <c r="E44" i="12"/>
  <c r="F44" i="12" s="1"/>
  <c r="H43" i="8"/>
  <c r="E35" i="12"/>
  <c r="F35" i="12" s="1"/>
  <c r="H35" i="8"/>
  <c r="E26" i="12"/>
  <c r="F26" i="12" s="1"/>
  <c r="H27" i="8"/>
  <c r="E19" i="12"/>
  <c r="F19" i="12" s="1"/>
  <c r="H19" i="8"/>
  <c r="E11" i="12"/>
  <c r="F11" i="12" s="1"/>
  <c r="H11" i="8"/>
  <c r="E4" i="12"/>
  <c r="F4" i="12" s="1"/>
  <c r="H3" i="8"/>
  <c r="H316" i="8"/>
  <c r="H300" i="8"/>
  <c r="H277" i="8"/>
  <c r="H258" i="8"/>
  <c r="H236" i="8"/>
  <c r="H213" i="8"/>
  <c r="H194" i="8"/>
  <c r="H172" i="8"/>
  <c r="H149" i="8"/>
  <c r="H130" i="8"/>
  <c r="H108" i="8"/>
  <c r="H76" i="8"/>
  <c r="H44" i="8"/>
  <c r="H12" i="8"/>
  <c r="E92" i="12"/>
  <c r="F92" i="12" s="1"/>
  <c r="H90" i="8"/>
  <c r="E76" i="12"/>
  <c r="F76" i="12" s="1"/>
  <c r="H74" i="8"/>
  <c r="E50" i="12"/>
  <c r="F50" i="12" s="1"/>
  <c r="H50" i="8"/>
  <c r="E20" i="12"/>
  <c r="F20" i="12" s="1"/>
  <c r="H18" i="8"/>
  <c r="H315" i="8"/>
  <c r="H298" i="8"/>
  <c r="H276" i="8"/>
  <c r="H253" i="8"/>
  <c r="H234" i="8"/>
  <c r="H212" i="8"/>
  <c r="H189" i="8"/>
  <c r="H170" i="8"/>
  <c r="H148" i="8"/>
  <c r="H125" i="8"/>
  <c r="H101" i="8"/>
  <c r="H69" i="8"/>
  <c r="H37" i="8"/>
  <c r="H5" i="8"/>
  <c r="E319" i="12"/>
  <c r="F319" i="12" s="1"/>
  <c r="H321" i="8"/>
  <c r="E313" i="12"/>
  <c r="F313" i="12" s="1"/>
  <c r="H313" i="8"/>
  <c r="E305" i="12"/>
  <c r="F305" i="12" s="1"/>
  <c r="H305" i="8"/>
  <c r="E297" i="12"/>
  <c r="F297" i="12" s="1"/>
  <c r="H297" i="8"/>
  <c r="E287" i="12"/>
  <c r="F287" i="12" s="1"/>
  <c r="H289" i="8"/>
  <c r="E279" i="12"/>
  <c r="F279" i="12" s="1"/>
  <c r="H281" i="8"/>
  <c r="E271" i="12"/>
  <c r="F271" i="12" s="1"/>
  <c r="H273" i="8"/>
  <c r="E264" i="12"/>
  <c r="F264" i="12" s="1"/>
  <c r="H265" i="8"/>
  <c r="E254" i="12"/>
  <c r="F254" i="12" s="1"/>
  <c r="H257" i="8"/>
  <c r="E247" i="12"/>
  <c r="F247" i="12" s="1"/>
  <c r="H249" i="8"/>
  <c r="E241" i="12"/>
  <c r="F241" i="12" s="1"/>
  <c r="H241" i="8"/>
  <c r="E232" i="12"/>
  <c r="F232" i="12" s="1"/>
  <c r="H233" i="8"/>
  <c r="E222" i="12"/>
  <c r="F222" i="12" s="1"/>
  <c r="H225" i="8"/>
  <c r="E215" i="12"/>
  <c r="F215" i="12" s="1"/>
  <c r="H217" i="8"/>
  <c r="E206" i="12"/>
  <c r="F206" i="12" s="1"/>
  <c r="H209" i="8"/>
  <c r="E201" i="12"/>
  <c r="F201" i="12" s="1"/>
  <c r="H201" i="8"/>
  <c r="E190" i="12"/>
  <c r="F190" i="12" s="1"/>
  <c r="H193" i="8"/>
  <c r="E184" i="12"/>
  <c r="F184" i="12" s="1"/>
  <c r="H185" i="8"/>
  <c r="E176" i="12"/>
  <c r="F176" i="12" s="1"/>
  <c r="H177" i="8"/>
  <c r="E168" i="12"/>
  <c r="F168" i="12" s="1"/>
  <c r="H169" i="8"/>
  <c r="E160" i="12"/>
  <c r="F160" i="12" s="1"/>
  <c r="H161" i="8"/>
  <c r="E153" i="12"/>
  <c r="F153" i="12" s="1"/>
  <c r="H153" i="8"/>
  <c r="E143" i="12"/>
  <c r="F143" i="12" s="1"/>
  <c r="H145" i="8"/>
  <c r="E137" i="12"/>
  <c r="F137" i="12" s="1"/>
  <c r="H137" i="8"/>
  <c r="E127" i="12"/>
  <c r="F127" i="12" s="1"/>
  <c r="H129" i="8"/>
  <c r="E120" i="12"/>
  <c r="F120" i="12" s="1"/>
  <c r="H121" i="8"/>
  <c r="E113" i="12"/>
  <c r="F113" i="12" s="1"/>
  <c r="H113" i="8"/>
  <c r="E105" i="12"/>
  <c r="F105" i="12" s="1"/>
  <c r="H105" i="8"/>
  <c r="E94" i="12"/>
  <c r="F94" i="12" s="1"/>
  <c r="H97" i="8"/>
  <c r="E87" i="12"/>
  <c r="F87" i="12" s="1"/>
  <c r="H89" i="8"/>
  <c r="E79" i="12"/>
  <c r="F79" i="12" s="1"/>
  <c r="H81" i="8"/>
  <c r="E72" i="12"/>
  <c r="F72" i="12" s="1"/>
  <c r="H73" i="8"/>
  <c r="E63" i="12"/>
  <c r="F63" i="12" s="1"/>
  <c r="H65" i="8"/>
  <c r="E55" i="12"/>
  <c r="F55" i="12" s="1"/>
  <c r="H57" i="8"/>
  <c r="E48" i="12"/>
  <c r="F48" i="12" s="1"/>
  <c r="H49" i="8"/>
  <c r="E40" i="12"/>
  <c r="F40" i="12" s="1"/>
  <c r="H41" i="8"/>
  <c r="E31" i="12"/>
  <c r="F31" i="12" s="1"/>
  <c r="H33" i="8"/>
  <c r="E24" i="12"/>
  <c r="F24" i="12" s="1"/>
  <c r="H25" i="8"/>
  <c r="E16" i="12"/>
  <c r="F16" i="12" s="1"/>
  <c r="H17" i="8"/>
  <c r="E9" i="12"/>
  <c r="F9" i="12" s="1"/>
  <c r="H9" i="8"/>
  <c r="H314" i="8"/>
  <c r="H293" i="8"/>
  <c r="H274" i="8"/>
  <c r="H252" i="8"/>
  <c r="H229" i="8"/>
  <c r="H210" i="8"/>
  <c r="H188" i="8"/>
  <c r="H165" i="8"/>
  <c r="H146" i="8"/>
  <c r="H124" i="8"/>
  <c r="H100" i="8"/>
  <c r="H68" i="8"/>
  <c r="H36" i="8"/>
  <c r="H4" i="8"/>
  <c r="E108" i="12"/>
  <c r="F108" i="12" s="1"/>
  <c r="H106" i="8"/>
  <c r="E99" i="12"/>
  <c r="F99" i="12" s="1"/>
  <c r="H98" i="8"/>
  <c r="E82" i="12"/>
  <c r="F82" i="12" s="1"/>
  <c r="H82" i="8"/>
  <c r="E67" i="12"/>
  <c r="F67" i="12" s="1"/>
  <c r="H66" i="8"/>
  <c r="E61" i="12"/>
  <c r="F61" i="12" s="1"/>
  <c r="H58" i="8"/>
  <c r="E42" i="12"/>
  <c r="F42" i="12" s="1"/>
  <c r="H42" i="8"/>
  <c r="E34" i="12"/>
  <c r="F34" i="12" s="1"/>
  <c r="H34" i="8"/>
  <c r="E27" i="12"/>
  <c r="F27" i="12" s="1"/>
  <c r="H26" i="8"/>
  <c r="E13" i="12"/>
  <c r="F13" i="12" s="1"/>
  <c r="H10" i="8"/>
  <c r="E320" i="12"/>
  <c r="F320" i="12" s="1"/>
  <c r="H320" i="8"/>
  <c r="E312" i="12"/>
  <c r="F312" i="12" s="1"/>
  <c r="H312" i="8"/>
  <c r="E303" i="12"/>
  <c r="F303" i="12" s="1"/>
  <c r="H304" i="8"/>
  <c r="E295" i="12"/>
  <c r="F295" i="12" s="1"/>
  <c r="H296" i="8"/>
  <c r="E288" i="12"/>
  <c r="F288" i="12" s="1"/>
  <c r="H288" i="8"/>
  <c r="H280" i="8"/>
  <c r="E280" i="12"/>
  <c r="F280" i="12" s="1"/>
  <c r="E272" i="12"/>
  <c r="F272" i="12" s="1"/>
  <c r="H272" i="8"/>
  <c r="E265" i="12"/>
  <c r="F265" i="12" s="1"/>
  <c r="H264" i="8"/>
  <c r="E256" i="12"/>
  <c r="F256" i="12" s="1"/>
  <c r="H256" i="8"/>
  <c r="E246" i="12"/>
  <c r="F246" i="12" s="1"/>
  <c r="H248" i="8"/>
  <c r="E240" i="12"/>
  <c r="F240" i="12" s="1"/>
  <c r="H240" i="8"/>
  <c r="E231" i="12"/>
  <c r="F231" i="12" s="1"/>
  <c r="H232" i="8"/>
  <c r="E224" i="12"/>
  <c r="F224" i="12" s="1"/>
  <c r="H224" i="8"/>
  <c r="E214" i="12"/>
  <c r="F214" i="12" s="1"/>
  <c r="H216" i="8"/>
  <c r="E207" i="12"/>
  <c r="F207" i="12" s="1"/>
  <c r="H208" i="8"/>
  <c r="E198" i="12"/>
  <c r="F198" i="12" s="1"/>
  <c r="H200" i="8"/>
  <c r="E191" i="12"/>
  <c r="F191" i="12" s="1"/>
  <c r="H192" i="8"/>
  <c r="E183" i="12"/>
  <c r="F183" i="12" s="1"/>
  <c r="H184" i="8"/>
  <c r="H176" i="8"/>
  <c r="E175" i="12"/>
  <c r="F175" i="12" s="1"/>
  <c r="E167" i="12"/>
  <c r="F167" i="12" s="1"/>
  <c r="H168" i="8"/>
  <c r="E161" i="12"/>
  <c r="F161" i="12" s="1"/>
  <c r="H160" i="8"/>
  <c r="E152" i="12"/>
  <c r="F152" i="12" s="1"/>
  <c r="H152" i="8"/>
  <c r="E144" i="12"/>
  <c r="F144" i="12" s="1"/>
  <c r="H144" i="8"/>
  <c r="H136" i="8"/>
  <c r="E136" i="12"/>
  <c r="F136" i="12" s="1"/>
  <c r="E128" i="12"/>
  <c r="F128" i="12" s="1"/>
  <c r="H128" i="8"/>
  <c r="E118" i="12"/>
  <c r="F118" i="12" s="1"/>
  <c r="H120" i="8"/>
  <c r="E110" i="12"/>
  <c r="F110" i="12" s="1"/>
  <c r="H112" i="8"/>
  <c r="E103" i="12"/>
  <c r="F103" i="12" s="1"/>
  <c r="H104" i="8"/>
  <c r="E97" i="12"/>
  <c r="F97" i="12" s="1"/>
  <c r="H96" i="8"/>
  <c r="E88" i="12"/>
  <c r="F88" i="12" s="1"/>
  <c r="H88" i="8"/>
  <c r="E81" i="12"/>
  <c r="F81" i="12" s="1"/>
  <c r="H80" i="8"/>
  <c r="E71" i="12"/>
  <c r="F71" i="12" s="1"/>
  <c r="H72" i="8"/>
  <c r="E62" i="12"/>
  <c r="F62" i="12" s="1"/>
  <c r="H64" i="8"/>
  <c r="E57" i="12"/>
  <c r="F57" i="12" s="1"/>
  <c r="H56" i="8"/>
  <c r="E49" i="12"/>
  <c r="F49" i="12" s="1"/>
  <c r="H48" i="8"/>
  <c r="E39" i="12"/>
  <c r="F39" i="12" s="1"/>
  <c r="H40" i="8"/>
  <c r="E32" i="12"/>
  <c r="F32" i="12" s="1"/>
  <c r="H32" i="8"/>
  <c r="E25" i="12"/>
  <c r="F25" i="12" s="1"/>
  <c r="H24" i="8"/>
  <c r="E15" i="12"/>
  <c r="F15" i="12" s="1"/>
  <c r="H16" i="8"/>
  <c r="E8" i="12"/>
  <c r="F8" i="12" s="1"/>
  <c r="H8" i="8"/>
  <c r="H309" i="8"/>
  <c r="H292" i="8"/>
  <c r="H269" i="8"/>
  <c r="H250" i="8"/>
  <c r="H228" i="8"/>
  <c r="H205" i="8"/>
  <c r="H186" i="8"/>
  <c r="H164" i="8"/>
  <c r="H141" i="8"/>
  <c r="H122" i="8"/>
  <c r="H93" i="8"/>
  <c r="H61" i="8"/>
  <c r="H29" i="8"/>
  <c r="E321" i="12"/>
  <c r="F321" i="12" s="1"/>
  <c r="H319" i="8"/>
  <c r="E310" i="12"/>
  <c r="F310" i="12" s="1"/>
  <c r="H311" i="8"/>
  <c r="E14" i="12"/>
  <c r="F14" i="12" s="1"/>
  <c r="H15" i="8"/>
  <c r="H308" i="8"/>
  <c r="H290" i="8"/>
  <c r="H268" i="8"/>
  <c r="H245" i="8"/>
  <c r="H226" i="8"/>
  <c r="H204" i="8"/>
  <c r="H181" i="8"/>
  <c r="H162" i="8"/>
  <c r="H140" i="8"/>
  <c r="H117" i="8"/>
  <c r="H92" i="8"/>
  <c r="H60" i="8"/>
  <c r="H28" i="8"/>
  <c r="H303" i="8"/>
  <c r="E304" i="12"/>
  <c r="F304" i="12" s="1"/>
  <c r="E296" i="12"/>
  <c r="F296" i="12" s="1"/>
  <c r="H295" i="8"/>
  <c r="E289" i="12"/>
  <c r="F289" i="12" s="1"/>
  <c r="H287" i="8"/>
  <c r="H279" i="8"/>
  <c r="E281" i="12"/>
  <c r="F281" i="12" s="1"/>
  <c r="E273" i="12"/>
  <c r="F273" i="12" s="1"/>
  <c r="H271" i="8"/>
  <c r="E262" i="12"/>
  <c r="F262" i="12" s="1"/>
  <c r="H263" i="8"/>
  <c r="E257" i="12"/>
  <c r="F257" i="12" s="1"/>
  <c r="H255" i="8"/>
  <c r="E248" i="12"/>
  <c r="F248" i="12" s="1"/>
  <c r="H247" i="8"/>
  <c r="E239" i="12"/>
  <c r="F239" i="12" s="1"/>
  <c r="H239" i="8"/>
  <c r="E233" i="12"/>
  <c r="F233" i="12" s="1"/>
  <c r="H231" i="8"/>
  <c r="E225" i="12"/>
  <c r="F225" i="12" s="1"/>
  <c r="H223" i="8"/>
  <c r="E217" i="12"/>
  <c r="F217" i="12" s="1"/>
  <c r="H215" i="8"/>
  <c r="E209" i="12"/>
  <c r="F209" i="12" s="1"/>
  <c r="H207" i="8"/>
  <c r="E199" i="12"/>
  <c r="F199" i="12" s="1"/>
  <c r="H199" i="8"/>
  <c r="E192" i="12"/>
  <c r="F192" i="12" s="1"/>
  <c r="H191" i="8"/>
  <c r="E185" i="12"/>
  <c r="F185" i="12" s="1"/>
  <c r="H183" i="8"/>
  <c r="H175" i="8"/>
  <c r="E174" i="12"/>
  <c r="F174" i="12" s="1"/>
  <c r="E166" i="12"/>
  <c r="F166" i="12" s="1"/>
  <c r="H167" i="8"/>
  <c r="E158" i="12"/>
  <c r="F158" i="12" s="1"/>
  <c r="H159" i="8"/>
  <c r="E151" i="12"/>
  <c r="F151" i="12" s="1"/>
  <c r="H151" i="8"/>
  <c r="E142" i="12"/>
  <c r="F142" i="12" s="1"/>
  <c r="H143" i="8"/>
  <c r="E135" i="12"/>
  <c r="F135" i="12" s="1"/>
  <c r="H135" i="8"/>
  <c r="E126" i="12"/>
  <c r="F126" i="12" s="1"/>
  <c r="H127" i="8"/>
  <c r="E121" i="12"/>
  <c r="F121" i="12" s="1"/>
  <c r="H119" i="8"/>
  <c r="E111" i="12"/>
  <c r="F111" i="12" s="1"/>
  <c r="H111" i="8"/>
  <c r="E102" i="12"/>
  <c r="F102" i="12" s="1"/>
  <c r="H103" i="8"/>
  <c r="E96" i="12"/>
  <c r="F96" i="12" s="1"/>
  <c r="H95" i="8"/>
  <c r="E86" i="12"/>
  <c r="F86" i="12" s="1"/>
  <c r="H87" i="8"/>
  <c r="H79" i="8"/>
  <c r="E80" i="12"/>
  <c r="F80" i="12" s="1"/>
  <c r="E70" i="12"/>
  <c r="F70" i="12" s="1"/>
  <c r="H71" i="8"/>
  <c r="E64" i="12"/>
  <c r="F64" i="12" s="1"/>
  <c r="H63" i="8"/>
  <c r="E56" i="12"/>
  <c r="F56" i="12" s="1"/>
  <c r="H55" i="8"/>
  <c r="E47" i="12"/>
  <c r="F47" i="12" s="1"/>
  <c r="H47" i="8"/>
  <c r="H39" i="8"/>
  <c r="E38" i="12"/>
  <c r="F38" i="12" s="1"/>
  <c r="H31" i="8"/>
  <c r="E33" i="12"/>
  <c r="F33" i="12" s="1"/>
  <c r="E23" i="12"/>
  <c r="F23" i="12" s="1"/>
  <c r="H23" i="8"/>
  <c r="E7" i="12"/>
  <c r="F7" i="12" s="1"/>
  <c r="H7" i="8"/>
  <c r="E318" i="12"/>
  <c r="F318" i="12" s="1"/>
  <c r="H318" i="8"/>
  <c r="E311" i="12"/>
  <c r="F311" i="12" s="1"/>
  <c r="H310" i="8"/>
  <c r="E302" i="12"/>
  <c r="F302" i="12" s="1"/>
  <c r="H302" i="8"/>
  <c r="E294" i="12"/>
  <c r="F294" i="12" s="1"/>
  <c r="H294" i="8"/>
  <c r="E286" i="12"/>
  <c r="F286" i="12" s="1"/>
  <c r="H286" i="8"/>
  <c r="E278" i="12"/>
  <c r="F278" i="12" s="1"/>
  <c r="H278" i="8"/>
  <c r="E270" i="12"/>
  <c r="F270" i="12" s="1"/>
  <c r="H270" i="8"/>
  <c r="E263" i="12"/>
  <c r="F263" i="12" s="1"/>
  <c r="H262" i="8"/>
  <c r="E255" i="12"/>
  <c r="F255" i="12" s="1"/>
  <c r="H254" i="8"/>
  <c r="E249" i="12"/>
  <c r="F249" i="12" s="1"/>
  <c r="H246" i="8"/>
  <c r="E238" i="12"/>
  <c r="F238" i="12" s="1"/>
  <c r="H238" i="8"/>
  <c r="E230" i="12"/>
  <c r="F230" i="12" s="1"/>
  <c r="H230" i="8"/>
  <c r="E223" i="12"/>
  <c r="F223" i="12" s="1"/>
  <c r="H222" i="8"/>
  <c r="E216" i="12"/>
  <c r="F216" i="12" s="1"/>
  <c r="H214" i="8"/>
  <c r="E208" i="12"/>
  <c r="F208" i="12" s="1"/>
  <c r="H206" i="8"/>
  <c r="E200" i="12"/>
  <c r="F200" i="12" s="1"/>
  <c r="H198" i="8"/>
  <c r="E193" i="12"/>
  <c r="F193" i="12" s="1"/>
  <c r="H190" i="8"/>
  <c r="E182" i="12"/>
  <c r="F182" i="12" s="1"/>
  <c r="H182" i="8"/>
  <c r="E177" i="12"/>
  <c r="F177" i="12" s="1"/>
  <c r="H174" i="8"/>
  <c r="E169" i="12"/>
  <c r="F169" i="12" s="1"/>
  <c r="H166" i="8"/>
  <c r="E159" i="12"/>
  <c r="F159" i="12" s="1"/>
  <c r="H158" i="8"/>
  <c r="E150" i="12"/>
  <c r="F150" i="12" s="1"/>
  <c r="H150" i="8"/>
  <c r="E145" i="12"/>
  <c r="F145" i="12" s="1"/>
  <c r="H142" i="8"/>
  <c r="E134" i="12"/>
  <c r="F134" i="12" s="1"/>
  <c r="H134" i="8"/>
  <c r="E129" i="12"/>
  <c r="F129" i="12" s="1"/>
  <c r="H126" i="8"/>
  <c r="E119" i="12"/>
  <c r="F119" i="12" s="1"/>
  <c r="H118" i="8"/>
  <c r="E112" i="12"/>
  <c r="F112" i="12" s="1"/>
  <c r="H110" i="8"/>
  <c r="E104" i="12"/>
  <c r="F104" i="12" s="1"/>
  <c r="H102" i="8"/>
  <c r="E95" i="12"/>
  <c r="F95" i="12" s="1"/>
  <c r="H94" i="8"/>
  <c r="E89" i="12"/>
  <c r="F89" i="12" s="1"/>
  <c r="H86" i="8"/>
  <c r="E78" i="12"/>
  <c r="F78" i="12" s="1"/>
  <c r="H78" i="8"/>
  <c r="E73" i="12"/>
  <c r="F73" i="12" s="1"/>
  <c r="H70" i="8"/>
  <c r="E65" i="12"/>
  <c r="F65" i="12" s="1"/>
  <c r="H62" i="8"/>
  <c r="E54" i="12"/>
  <c r="F54" i="12" s="1"/>
  <c r="H54" i="8"/>
  <c r="E46" i="12"/>
  <c r="F46" i="12" s="1"/>
  <c r="H46" i="8"/>
  <c r="E41" i="12"/>
  <c r="F41" i="12" s="1"/>
  <c r="H38" i="8"/>
  <c r="E30" i="12"/>
  <c r="F30" i="12" s="1"/>
  <c r="H30" i="8"/>
  <c r="E22" i="12"/>
  <c r="F22" i="12" s="1"/>
  <c r="H22" i="8"/>
  <c r="E17" i="12"/>
  <c r="F17" i="12" s="1"/>
  <c r="H14" i="8"/>
  <c r="E6" i="12"/>
  <c r="F6" i="12" s="1"/>
  <c r="H6" i="8"/>
  <c r="H307" i="8"/>
  <c r="H285" i="8"/>
  <c r="H266" i="8"/>
  <c r="H244" i="8"/>
  <c r="H221" i="8"/>
  <c r="H202" i="8"/>
  <c r="H180" i="8"/>
  <c r="H157" i="8"/>
  <c r="H138" i="8"/>
  <c r="H116" i="8"/>
  <c r="H85" i="8"/>
  <c r="H53" i="8"/>
  <c r="H21" i="8"/>
  <c r="H306" i="8"/>
  <c r="H284" i="8"/>
  <c r="H261" i="8"/>
  <c r="H242" i="8"/>
  <c r="H220" i="8"/>
  <c r="H197" i="8"/>
  <c r="H178" i="8"/>
  <c r="H156" i="8"/>
  <c r="H133" i="8"/>
  <c r="H114" i="8"/>
  <c r="H84" i="8"/>
  <c r="H52" i="8"/>
  <c r="H20" i="8"/>
  <c r="H2" i="8"/>
  <c r="H317" i="8"/>
  <c r="H301" i="8"/>
  <c r="H282" i="8"/>
  <c r="H260" i="8"/>
  <c r="H237" i="8"/>
  <c r="H218" i="8"/>
  <c r="H196" i="8"/>
  <c r="H173" i="8"/>
  <c r="H154" i="8"/>
  <c r="H132" i="8"/>
  <c r="H109" i="8"/>
  <c r="H77" i="8"/>
  <c r="H45" i="8"/>
  <c r="H13" i="8"/>
</calcChain>
</file>

<file path=xl/sharedStrings.xml><?xml version="1.0" encoding="utf-8"?>
<sst xmlns="http://schemas.openxmlformats.org/spreadsheetml/2006/main" count="4092" uniqueCount="173">
  <si>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</si>
  <si>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</si>
  <si>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</si>
  <si>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</si>
  <si>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</si>
  <si>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</si>
  <si>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</si>
  <si>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</si>
  <si>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</si>
  <si>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</si>
  <si>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</si>
  <si>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</si>
  <si>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</si>
  <si>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</si>
  <si>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</si>
  <si>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</si>
  <si>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</si>
  <si>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</si>
  <si>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</si>
  <si>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</si>
  <si>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</si>
  <si>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</si>
  <si>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</si>
  <si>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</si>
  <si>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</si>
  <si>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</si>
  <si>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</si>
  <si>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</si>
  <si>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</si>
  <si>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</si>
  <si>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</si>
  <si>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</si>
  <si>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</si>
  <si>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</si>
  <si>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</si>
  <si>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</si>
  <si>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</si>
  <si>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</si>
  <si>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</si>
  <si>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</si>
  <si>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</si>
  <si>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</si>
  <si>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</si>
  <si>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</si>
  <si>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</si>
  <si>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</si>
  <si>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</si>
  <si>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</si>
  <si>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</si>
  <si>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</si>
  <si>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</si>
  <si>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</si>
  <si>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</si>
  <si>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</si>
  <si>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</si>
  <si>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</si>
  <si>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</si>
  <si>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</si>
  <si>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</si>
  <si>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</si>
  <si>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</si>
  <si>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</si>
  <si>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</si>
  <si>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</si>
  <si>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</si>
  <si>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</si>
  <si>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</si>
  <si>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</si>
  <si>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</si>
  <si>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</si>
  <si>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</si>
  <si>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</si>
  <si>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</si>
  <si>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</si>
  <si>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</si>
  <si>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</si>
  <si>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</si>
  <si>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</si>
  <si>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</si>
  <si>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</si>
  <si>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</si>
  <si>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</si>
  <si>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</si>
  <si>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</si>
  <si>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</si>
  <si>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</si>
  <si>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</si>
  <si>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</si>
  <si>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</si>
  <si>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</si>
  <si>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</si>
  <si>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</si>
  <si>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</si>
  <si>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</si>
  <si>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</si>
  <si>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</si>
  <si>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</si>
  <si>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</si>
  <si>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</si>
  <si>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</si>
  <si>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</si>
  <si>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</si>
  <si>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</si>
  <si>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</si>
  <si>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</si>
  <si>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store_type_Airport</t>
  </si>
  <si>
    <t>store_type_High Street</t>
  </si>
  <si>
    <t>store_type_Mall</t>
  </si>
  <si>
    <t>Model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</si>
  <si>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</si>
  <si>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</si>
  <si>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</si>
  <si>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</si>
  <si>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</si>
  <si>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</si>
  <si>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</si>
  <si>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</si>
  <si>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</si>
  <si>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</si>
  <si>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</si>
  <si>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</si>
  <si>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</si>
  <si>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</si>
  <si>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</si>
  <si>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</si>
  <si>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</si>
  <si>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</si>
  <si>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</si>
  <si>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</si>
  <si>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</si>
  <si>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</si>
  <si>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</si>
  <si>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</si>
  <si>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rPr>
        <b/>
        <sz val="12"/>
        <color theme="1"/>
        <rFont val="Calibri"/>
        <family val="2"/>
        <scheme val="minor"/>
      </rPr>
      <t>Model 1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2"/>
        <color theme="1"/>
        <rFont val="Calibri"/>
        <family val="2"/>
        <scheme val="minor"/>
      </rPr>
      <t>Marketing Spend regression output</t>
    </r>
  </si>
  <si>
    <r>
      <rPr>
        <b/>
        <sz val="12"/>
        <color theme="1"/>
        <rFont val="Calibri"/>
        <family val="2"/>
        <scheme val="minor"/>
      </rPr>
      <t>Model 3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2"/>
        <color theme="1"/>
        <rFont val="Calibri"/>
        <family val="2"/>
        <scheme val="minor"/>
      </rPr>
      <t>Discount % regression output</t>
    </r>
  </si>
  <si>
    <r>
      <rPr>
        <b/>
        <sz val="12"/>
        <color theme="1"/>
        <rFont val="Calibri"/>
        <family val="2"/>
        <scheme val="minor"/>
      </rPr>
      <t>Model 2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2"/>
        <color theme="1"/>
        <rFont val="Calibri"/>
        <family val="2"/>
        <scheme val="minor"/>
      </rPr>
      <t>Footfall regression output</t>
    </r>
  </si>
  <si>
    <t>Variable</t>
  </si>
  <si>
    <t>Coefficient</t>
  </si>
  <si>
    <t>R²</t>
  </si>
  <si>
    <t>Significant</t>
  </si>
  <si>
    <t>Model 1</t>
  </si>
  <si>
    <t>Model 2</t>
  </si>
  <si>
    <t>Model 3</t>
  </si>
  <si>
    <t>Yes</t>
  </si>
  <si>
    <t>No</t>
  </si>
  <si>
    <t>predicted_sales</t>
  </si>
  <si>
    <t>residuals</t>
  </si>
  <si>
    <t>Variables Used</t>
  </si>
  <si>
    <t>R-squared</t>
  </si>
  <si>
    <t>Adj R-squared</t>
  </si>
  <si>
    <t>Significant Variables</t>
  </si>
  <si>
    <t>Business Usefulness</t>
  </si>
  <si>
    <t>Simple 1</t>
  </si>
  <si>
    <t>Low</t>
  </si>
  <si>
    <t>Simple 2</t>
  </si>
  <si>
    <t>High</t>
  </si>
  <si>
    <t>Simple 3</t>
  </si>
  <si>
    <t>None</t>
  </si>
  <si>
    <t>Multiple</t>
  </si>
  <si>
    <t>All predictors</t>
  </si>
  <si>
    <t>Very High</t>
  </si>
  <si>
    <t>Type</t>
  </si>
  <si>
    <t>Top 5 And Bottom 5 Residuals</t>
  </si>
  <si>
    <t>Store</t>
  </si>
  <si>
    <t>Region</t>
  </si>
  <si>
    <t>Predicted_sales</t>
  </si>
  <si>
    <t xml:space="preserve">STR-1028 </t>
  </si>
  <si>
    <t xml:space="preserve">Mall </t>
  </si>
  <si>
    <t>Actual</t>
  </si>
  <si>
    <t xml:space="preserve">East </t>
  </si>
  <si>
    <t xml:space="preserve"> STR-1030</t>
  </si>
  <si>
    <t xml:space="preserve">STR-1017 </t>
  </si>
  <si>
    <t>marketing, footfall, inventory, rating, holiday, region_South, region_West, store_type_Airport, store_type_High Street, store_type_Mall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</si>
</sst>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FFFFFF"/>
      <name val="Carlito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365F91"/>
      </patternFill>
    </fill>
    <fill>
      <patternFill patternType="solid">
        <fgColor rgb="FF365F91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2" fillId="2" borderId="0" xfId="1"/>
    <xf numFmtId="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4C95-39B9-224C-B314-949B4CA8D9BB}" name="Table5" displayName="Table5" ref="O27:U31">
  <autoFilter ref="O27:U31" xr:uid="{A7FC4C95-39B9-224C-B314-949B4CA8D9BB}"/>
  <tableColumns count="7">
    <tableColumn id="1" xr3:uid="{718386F0-0FA2-4246-B122-0FC0D77A96DF}" name="Model" totalsRowLabel="Total"/>
    <tableColumn id="2" xr3:uid="{E7AA1F68-27D6-6A44-801B-1827C6D0F677}" name="Variable"/>
    <tableColumn id="3" xr3:uid="{BB736DFE-6D5D-D948-9F24-7E61FA91D19A}" name="Intercept"/>
    <tableColumn id="4" xr3:uid="{7E35E524-BD77-204C-92B4-7A69FCD9CF59}" name="Coefficient"/>
    <tableColumn id="5" xr3:uid="{FC13D504-D17C-A543-B3FA-252FE8E51B7F}" name="R²"/>
    <tableColumn id="6" xr3:uid="{5CBEF913-42C9-F148-886B-2AA0CBB95212}" name="P-value"/>
    <tableColumn id="7" xr3:uid="{A69E4AED-98AF-0B45-85BF-5C126265499E}" name="Significant" totalsRowFunction="count"/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32C-537F-1849-B6BB-53D61539FA75}">
  <dimension ref="A1:N321"/>
  <sheetViews>
    <sheetView workbookViewId="0">
      <selection activeCell="M2" sqref="M2:M321"/>
    </sheetView>
  </sheetViews>
  <sheetFormatPr baseColWidth="10" defaultRowHeight="16"/>
  <sheetData>
    <row r="1" spans="1:14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B8DB-1FD8-B74C-BB76-3F6DADDEC844}">
  <dimension ref="A1:N321"/>
  <sheetViews>
    <sheetView workbookViewId="0">
      <selection activeCell="Q227" sqref="Q227"/>
    </sheetView>
  </sheetViews>
  <sheetFormatPr baseColWidth="10" defaultRowHeight="16"/>
  <sheetData>
    <row r="1" spans="1:14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4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2.59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3.4249999999999998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4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3.12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4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4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2.59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4.3849999999999998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3.4249999999999998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4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738E-654F-FF45-9979-EACD13A36A53}">
  <dimension ref="A1:K321"/>
  <sheetViews>
    <sheetView workbookViewId="0">
      <selection activeCell="D1" sqref="D1:D1048576"/>
    </sheetView>
  </sheetViews>
  <sheetFormatPr baseColWidth="10" defaultRowHeight="16"/>
  <cols>
    <col min="6" max="6" width="12.5" customWidth="1"/>
  </cols>
  <sheetData>
    <row r="1" spans="1:11" ht="48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</row>
    <row r="2" spans="1:11">
      <c r="A2" t="s">
        <v>14</v>
      </c>
      <c r="B2" s="2">
        <v>45658</v>
      </c>
      <c r="C2" t="s">
        <v>15</v>
      </c>
      <c r="D2" t="s">
        <v>16</v>
      </c>
      <c r="E2">
        <v>658832.62</v>
      </c>
      <c r="F2">
        <f>IF(C2="North",1,0)</f>
        <v>0</v>
      </c>
      <c r="G2">
        <f>IF(C2="South",1,0)</f>
        <v>0</v>
      </c>
      <c r="H2">
        <f>IF(C2="West",1,0)</f>
        <v>0</v>
      </c>
      <c r="I2">
        <f>IF(D2="Airport",1,0)</f>
        <v>0</v>
      </c>
      <c r="J2">
        <f>IF(D2="High Street",1,0)</f>
        <v>0</v>
      </c>
      <c r="K2">
        <f>IF(D2="Mall",1,0)</f>
        <v>0</v>
      </c>
    </row>
    <row r="3" spans="1:11">
      <c r="A3" t="s">
        <v>14</v>
      </c>
      <c r="B3" s="2">
        <v>45689</v>
      </c>
      <c r="C3" t="s">
        <v>15</v>
      </c>
      <c r="D3" t="s">
        <v>16</v>
      </c>
      <c r="E3">
        <v>634436</v>
      </c>
      <c r="F3">
        <f t="shared" ref="F3:F66" si="0">IF(C3="North",1,0)</f>
        <v>0</v>
      </c>
      <c r="G3">
        <f t="shared" ref="G3:G66" si="1">IF(C3="South",1,0)</f>
        <v>0</v>
      </c>
      <c r="H3">
        <f t="shared" ref="H3:H66" si="2">IF(C3="West",1,0)</f>
        <v>0</v>
      </c>
      <c r="I3">
        <f t="shared" ref="I3:I66" si="3">IF(D3="Airport",1,0)</f>
        <v>0</v>
      </c>
      <c r="J3">
        <f t="shared" ref="J3:J66" si="4">IF(D3="High Street",1,0)</f>
        <v>0</v>
      </c>
      <c r="K3">
        <f t="shared" ref="K3:K66" si="5">IF(D3="Mall",1,0)</f>
        <v>0</v>
      </c>
    </row>
    <row r="4" spans="1:11">
      <c r="A4" t="s">
        <v>14</v>
      </c>
      <c r="B4" s="2">
        <v>45717</v>
      </c>
      <c r="C4" t="s">
        <v>15</v>
      </c>
      <c r="D4" t="s">
        <v>16</v>
      </c>
      <c r="E4">
        <v>678722.06</v>
      </c>
      <c r="F4">
        <f t="shared" si="0"/>
        <v>0</v>
      </c>
      <c r="G4">
        <f t="shared" si="1"/>
        <v>0</v>
      </c>
      <c r="H4">
        <f t="shared" si="2"/>
        <v>0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>
      <c r="A5" t="s">
        <v>14</v>
      </c>
      <c r="B5" s="2">
        <v>45748</v>
      </c>
      <c r="C5" t="s">
        <v>15</v>
      </c>
      <c r="D5" t="s">
        <v>16</v>
      </c>
      <c r="E5">
        <v>658920.30000000005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>
      <c r="A6" t="s">
        <v>17</v>
      </c>
      <c r="B6" s="2">
        <v>45658</v>
      </c>
      <c r="C6" t="s">
        <v>15</v>
      </c>
      <c r="D6" t="s">
        <v>18</v>
      </c>
      <c r="E6">
        <v>741341.44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1</v>
      </c>
      <c r="K6">
        <f t="shared" si="5"/>
        <v>0</v>
      </c>
    </row>
    <row r="7" spans="1:11">
      <c r="A7" t="s">
        <v>17</v>
      </c>
      <c r="B7" s="2">
        <v>45689</v>
      </c>
      <c r="C7" t="s">
        <v>15</v>
      </c>
      <c r="D7" t="s">
        <v>18</v>
      </c>
      <c r="E7">
        <v>761835.34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1</v>
      </c>
      <c r="K7">
        <f t="shared" si="5"/>
        <v>0</v>
      </c>
    </row>
    <row r="8" spans="1:11">
      <c r="A8" t="s">
        <v>17</v>
      </c>
      <c r="B8" s="2">
        <v>45717</v>
      </c>
      <c r="C8" t="s">
        <v>15</v>
      </c>
      <c r="D8" t="s">
        <v>18</v>
      </c>
      <c r="E8">
        <v>806615.54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0</v>
      </c>
      <c r="J8">
        <f t="shared" si="4"/>
        <v>1</v>
      </c>
      <c r="K8">
        <f t="shared" si="5"/>
        <v>0</v>
      </c>
    </row>
    <row r="9" spans="1:11">
      <c r="A9" t="s">
        <v>17</v>
      </c>
      <c r="B9" s="2">
        <v>45748</v>
      </c>
      <c r="C9" t="s">
        <v>15</v>
      </c>
      <c r="D9" t="s">
        <v>18</v>
      </c>
      <c r="E9">
        <v>850164.26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0</v>
      </c>
      <c r="J9">
        <f t="shared" si="4"/>
        <v>1</v>
      </c>
      <c r="K9">
        <f t="shared" si="5"/>
        <v>0</v>
      </c>
    </row>
    <row r="10" spans="1:11">
      <c r="A10" t="s">
        <v>19</v>
      </c>
      <c r="B10" s="2">
        <v>45658</v>
      </c>
      <c r="C10" t="s">
        <v>20</v>
      </c>
      <c r="D10" t="s">
        <v>21</v>
      </c>
      <c r="E10">
        <v>930581.7</v>
      </c>
      <c r="F10">
        <f t="shared" si="0"/>
        <v>1</v>
      </c>
      <c r="G10">
        <f t="shared" si="1"/>
        <v>0</v>
      </c>
      <c r="H10">
        <f t="shared" si="2"/>
        <v>0</v>
      </c>
      <c r="I10">
        <f t="shared" si="3"/>
        <v>1</v>
      </c>
      <c r="J10">
        <f t="shared" si="4"/>
        <v>0</v>
      </c>
      <c r="K10">
        <f t="shared" si="5"/>
        <v>0</v>
      </c>
    </row>
    <row r="11" spans="1:11">
      <c r="A11" t="s">
        <v>19</v>
      </c>
      <c r="B11" s="2">
        <v>45689</v>
      </c>
      <c r="C11" t="s">
        <v>20</v>
      </c>
      <c r="D11" t="s">
        <v>21</v>
      </c>
      <c r="E11">
        <v>779010.94</v>
      </c>
      <c r="F11">
        <f t="shared" si="0"/>
        <v>1</v>
      </c>
      <c r="G11">
        <f t="shared" si="1"/>
        <v>0</v>
      </c>
      <c r="H11">
        <f t="shared" si="2"/>
        <v>0</v>
      </c>
      <c r="I11">
        <f t="shared" si="3"/>
        <v>1</v>
      </c>
      <c r="J11">
        <f t="shared" si="4"/>
        <v>0</v>
      </c>
      <c r="K11">
        <f t="shared" si="5"/>
        <v>0</v>
      </c>
    </row>
    <row r="12" spans="1:11">
      <c r="A12" t="s">
        <v>19</v>
      </c>
      <c r="B12" s="2">
        <v>45717</v>
      </c>
      <c r="C12" t="s">
        <v>20</v>
      </c>
      <c r="D12" t="s">
        <v>21</v>
      </c>
      <c r="E12">
        <v>723060.76</v>
      </c>
      <c r="F12">
        <f t="shared" si="0"/>
        <v>1</v>
      </c>
      <c r="G12">
        <f t="shared" si="1"/>
        <v>0</v>
      </c>
      <c r="H12">
        <f t="shared" si="2"/>
        <v>0</v>
      </c>
      <c r="I12">
        <f t="shared" si="3"/>
        <v>1</v>
      </c>
      <c r="J12">
        <f t="shared" si="4"/>
        <v>0</v>
      </c>
      <c r="K12">
        <f t="shared" si="5"/>
        <v>0</v>
      </c>
    </row>
    <row r="13" spans="1:11">
      <c r="A13" t="s">
        <v>19</v>
      </c>
      <c r="B13" s="2">
        <v>45748</v>
      </c>
      <c r="C13" t="s">
        <v>20</v>
      </c>
      <c r="D13" t="s">
        <v>21</v>
      </c>
      <c r="E13">
        <v>910791.94</v>
      </c>
      <c r="F13">
        <f t="shared" si="0"/>
        <v>1</v>
      </c>
      <c r="G13">
        <f t="shared" si="1"/>
        <v>0</v>
      </c>
      <c r="H13">
        <f t="shared" si="2"/>
        <v>0</v>
      </c>
      <c r="I13">
        <f t="shared" si="3"/>
        <v>1</v>
      </c>
      <c r="J13">
        <f t="shared" si="4"/>
        <v>0</v>
      </c>
      <c r="K13">
        <f t="shared" si="5"/>
        <v>0</v>
      </c>
    </row>
    <row r="14" spans="1:11">
      <c r="A14" t="s">
        <v>22</v>
      </c>
      <c r="B14" s="2">
        <v>45658</v>
      </c>
      <c r="C14" t="s">
        <v>15</v>
      </c>
      <c r="D14" t="s">
        <v>16</v>
      </c>
      <c r="E14">
        <v>922168.6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>
      <c r="A15" t="s">
        <v>22</v>
      </c>
      <c r="B15" s="2">
        <v>45689</v>
      </c>
      <c r="C15" t="s">
        <v>15</v>
      </c>
      <c r="D15" t="s">
        <v>16</v>
      </c>
      <c r="E15">
        <v>726606.28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>
      <c r="A16" t="s">
        <v>22</v>
      </c>
      <c r="B16" s="2">
        <v>45717</v>
      </c>
      <c r="C16" t="s">
        <v>15</v>
      </c>
      <c r="D16" t="s">
        <v>16</v>
      </c>
      <c r="E16">
        <v>746501.09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>
      <c r="A17" t="s">
        <v>22</v>
      </c>
      <c r="B17" s="2">
        <v>45748</v>
      </c>
      <c r="C17" t="s">
        <v>15</v>
      </c>
      <c r="D17" t="s">
        <v>16</v>
      </c>
      <c r="E17">
        <v>834017.02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>
      <c r="A18" t="s">
        <v>23</v>
      </c>
      <c r="B18" s="2">
        <v>45658</v>
      </c>
      <c r="C18" t="s">
        <v>24</v>
      </c>
      <c r="D18" t="s">
        <v>16</v>
      </c>
      <c r="E18">
        <v>666152.52</v>
      </c>
      <c r="F18">
        <f t="shared" si="0"/>
        <v>0</v>
      </c>
      <c r="G18">
        <f t="shared" si="1"/>
        <v>1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>
      <c r="A19" t="s">
        <v>23</v>
      </c>
      <c r="B19" s="2">
        <v>45689</v>
      </c>
      <c r="C19" t="s">
        <v>24</v>
      </c>
      <c r="D19" t="s">
        <v>16</v>
      </c>
      <c r="E19">
        <v>573155.18999999994</v>
      </c>
      <c r="F19">
        <f t="shared" si="0"/>
        <v>0</v>
      </c>
      <c r="G19">
        <f t="shared" si="1"/>
        <v>1</v>
      </c>
      <c r="H19">
        <f t="shared" si="2"/>
        <v>0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>
      <c r="A20" t="s">
        <v>23</v>
      </c>
      <c r="B20" s="2">
        <v>45717</v>
      </c>
      <c r="C20" t="s">
        <v>24</v>
      </c>
      <c r="D20" t="s">
        <v>16</v>
      </c>
      <c r="E20">
        <v>666573.19999999995</v>
      </c>
      <c r="F20">
        <f t="shared" si="0"/>
        <v>0</v>
      </c>
      <c r="G20">
        <f t="shared" si="1"/>
        <v>1</v>
      </c>
      <c r="H20">
        <f t="shared" si="2"/>
        <v>0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>
      <c r="A21" t="s">
        <v>23</v>
      </c>
      <c r="B21" s="2">
        <v>45748</v>
      </c>
      <c r="C21" t="s">
        <v>24</v>
      </c>
      <c r="D21" t="s">
        <v>16</v>
      </c>
      <c r="E21">
        <v>591619.94999999995</v>
      </c>
      <c r="F21">
        <f t="shared" si="0"/>
        <v>0</v>
      </c>
      <c r="G21">
        <f t="shared" si="1"/>
        <v>1</v>
      </c>
      <c r="H21">
        <f t="shared" si="2"/>
        <v>0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>
      <c r="A22" t="s">
        <v>25</v>
      </c>
      <c r="B22" s="2">
        <v>45658</v>
      </c>
      <c r="C22" t="s">
        <v>20</v>
      </c>
      <c r="D22" t="s">
        <v>16</v>
      </c>
      <c r="E22">
        <v>415721.82</v>
      </c>
      <c r="F22">
        <f t="shared" si="0"/>
        <v>1</v>
      </c>
      <c r="G22">
        <f t="shared" si="1"/>
        <v>0</v>
      </c>
      <c r="H22">
        <f t="shared" si="2"/>
        <v>0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>
      <c r="A23" t="s">
        <v>25</v>
      </c>
      <c r="B23" s="2">
        <v>45689</v>
      </c>
      <c r="C23" t="s">
        <v>20</v>
      </c>
      <c r="D23" t="s">
        <v>16</v>
      </c>
      <c r="E23">
        <v>491905.13</v>
      </c>
      <c r="F23">
        <f t="shared" si="0"/>
        <v>1</v>
      </c>
      <c r="G23">
        <f t="shared" si="1"/>
        <v>0</v>
      </c>
      <c r="H23">
        <f t="shared" si="2"/>
        <v>0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>
      <c r="A24" t="s">
        <v>25</v>
      </c>
      <c r="B24" s="2">
        <v>45717</v>
      </c>
      <c r="C24" t="s">
        <v>20</v>
      </c>
      <c r="D24" t="s">
        <v>16</v>
      </c>
      <c r="E24">
        <v>555929.4</v>
      </c>
      <c r="F24">
        <f t="shared" si="0"/>
        <v>1</v>
      </c>
      <c r="G24">
        <f t="shared" si="1"/>
        <v>0</v>
      </c>
      <c r="H24">
        <f t="shared" si="2"/>
        <v>0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>
      <c r="A25" t="s">
        <v>25</v>
      </c>
      <c r="B25" s="2">
        <v>45748</v>
      </c>
      <c r="C25" t="s">
        <v>20</v>
      </c>
      <c r="D25" t="s">
        <v>16</v>
      </c>
      <c r="E25">
        <v>565810.99</v>
      </c>
      <c r="F25">
        <f t="shared" si="0"/>
        <v>1</v>
      </c>
      <c r="G25">
        <f t="shared" si="1"/>
        <v>0</v>
      </c>
      <c r="H25">
        <f t="shared" si="2"/>
        <v>0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>
      <c r="A26" t="s">
        <v>26</v>
      </c>
      <c r="B26" s="2">
        <v>45658</v>
      </c>
      <c r="C26" t="s">
        <v>27</v>
      </c>
      <c r="D26" t="s">
        <v>28</v>
      </c>
      <c r="E26">
        <v>811771.14</v>
      </c>
      <c r="F26">
        <f t="shared" si="0"/>
        <v>0</v>
      </c>
      <c r="G26">
        <f t="shared" si="1"/>
        <v>0</v>
      </c>
      <c r="H26">
        <f t="shared" si="2"/>
        <v>1</v>
      </c>
      <c r="I26">
        <f t="shared" si="3"/>
        <v>0</v>
      </c>
      <c r="J26">
        <f t="shared" si="4"/>
        <v>0</v>
      </c>
      <c r="K26">
        <f t="shared" si="5"/>
        <v>1</v>
      </c>
    </row>
    <row r="27" spans="1:11">
      <c r="A27" t="s">
        <v>26</v>
      </c>
      <c r="B27" s="2">
        <v>45689</v>
      </c>
      <c r="C27" t="s">
        <v>27</v>
      </c>
      <c r="D27" t="s">
        <v>28</v>
      </c>
      <c r="E27">
        <v>800451.94</v>
      </c>
      <c r="F27">
        <f t="shared" si="0"/>
        <v>0</v>
      </c>
      <c r="G27">
        <f t="shared" si="1"/>
        <v>0</v>
      </c>
      <c r="H27">
        <f t="shared" si="2"/>
        <v>1</v>
      </c>
      <c r="I27">
        <f t="shared" si="3"/>
        <v>0</v>
      </c>
      <c r="J27">
        <f t="shared" si="4"/>
        <v>0</v>
      </c>
      <c r="K27">
        <f t="shared" si="5"/>
        <v>1</v>
      </c>
    </row>
    <row r="28" spans="1:11">
      <c r="A28" t="s">
        <v>26</v>
      </c>
      <c r="B28" s="2">
        <v>45717</v>
      </c>
      <c r="C28" t="s">
        <v>27</v>
      </c>
      <c r="D28" t="s">
        <v>28</v>
      </c>
      <c r="E28">
        <v>783672.82</v>
      </c>
      <c r="F28">
        <f t="shared" si="0"/>
        <v>0</v>
      </c>
      <c r="G28">
        <f t="shared" si="1"/>
        <v>0</v>
      </c>
      <c r="H28">
        <f t="shared" si="2"/>
        <v>1</v>
      </c>
      <c r="I28">
        <f t="shared" si="3"/>
        <v>0</v>
      </c>
      <c r="J28">
        <f t="shared" si="4"/>
        <v>0</v>
      </c>
      <c r="K28">
        <f t="shared" si="5"/>
        <v>1</v>
      </c>
    </row>
    <row r="29" spans="1:11">
      <c r="A29" t="s">
        <v>26</v>
      </c>
      <c r="B29" s="2">
        <v>45748</v>
      </c>
      <c r="C29" t="s">
        <v>27</v>
      </c>
      <c r="D29" t="s">
        <v>28</v>
      </c>
      <c r="E29">
        <v>701641.97</v>
      </c>
      <c r="F29">
        <f t="shared" si="0"/>
        <v>0</v>
      </c>
      <c r="G29">
        <f t="shared" si="1"/>
        <v>0</v>
      </c>
      <c r="H29">
        <f t="shared" si="2"/>
        <v>1</v>
      </c>
      <c r="I29">
        <f t="shared" si="3"/>
        <v>0</v>
      </c>
      <c r="J29">
        <f t="shared" si="4"/>
        <v>0</v>
      </c>
      <c r="K29">
        <f t="shared" si="5"/>
        <v>1</v>
      </c>
    </row>
    <row r="30" spans="1:11">
      <c r="A30" t="s">
        <v>29</v>
      </c>
      <c r="B30" s="2">
        <v>45658</v>
      </c>
      <c r="C30" t="s">
        <v>15</v>
      </c>
      <c r="D30" t="s">
        <v>16</v>
      </c>
      <c r="E30">
        <v>511844.41</v>
      </c>
      <c r="F30">
        <f t="shared" si="0"/>
        <v>0</v>
      </c>
      <c r="G30">
        <f t="shared" si="1"/>
        <v>0</v>
      </c>
      <c r="H30">
        <f t="shared" si="2"/>
        <v>0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>
      <c r="A31" t="s">
        <v>29</v>
      </c>
      <c r="B31" s="2">
        <v>45689</v>
      </c>
      <c r="C31" t="s">
        <v>15</v>
      </c>
      <c r="D31" t="s">
        <v>16</v>
      </c>
      <c r="E31">
        <v>537383.79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>
      <c r="A32" t="s">
        <v>29</v>
      </c>
      <c r="B32" s="2">
        <v>45717</v>
      </c>
      <c r="C32" t="s">
        <v>15</v>
      </c>
      <c r="D32" t="s">
        <v>16</v>
      </c>
      <c r="E32">
        <v>500173.02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>
      <c r="A33" t="s">
        <v>29</v>
      </c>
      <c r="B33" s="2">
        <v>45748</v>
      </c>
      <c r="C33" t="s">
        <v>15</v>
      </c>
      <c r="D33" t="s">
        <v>16</v>
      </c>
      <c r="E33">
        <v>427917.38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>
      <c r="A34" t="s">
        <v>30</v>
      </c>
      <c r="B34" s="2">
        <v>45658</v>
      </c>
      <c r="C34" t="s">
        <v>20</v>
      </c>
      <c r="D34" t="s">
        <v>16</v>
      </c>
      <c r="E34">
        <v>641865.03</v>
      </c>
      <c r="F34">
        <f t="shared" si="0"/>
        <v>1</v>
      </c>
      <c r="G34">
        <f t="shared" si="1"/>
        <v>0</v>
      </c>
      <c r="H34">
        <f t="shared" si="2"/>
        <v>0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>
      <c r="A35" t="s">
        <v>30</v>
      </c>
      <c r="B35" s="2">
        <v>45689</v>
      </c>
      <c r="C35" t="s">
        <v>20</v>
      </c>
      <c r="D35" t="s">
        <v>16</v>
      </c>
      <c r="E35">
        <v>799477.76000000001</v>
      </c>
      <c r="F35">
        <f t="shared" si="0"/>
        <v>1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>
      <c r="A36" t="s">
        <v>30</v>
      </c>
      <c r="B36" s="2">
        <v>45717</v>
      </c>
      <c r="C36" t="s">
        <v>20</v>
      </c>
      <c r="D36" t="s">
        <v>16</v>
      </c>
      <c r="E36">
        <v>798952.17</v>
      </c>
      <c r="F36">
        <f t="shared" si="0"/>
        <v>1</v>
      </c>
      <c r="G36">
        <f t="shared" si="1"/>
        <v>0</v>
      </c>
      <c r="H36">
        <f t="shared" si="2"/>
        <v>0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>
      <c r="A37" t="s">
        <v>30</v>
      </c>
      <c r="B37" s="2">
        <v>45748</v>
      </c>
      <c r="C37" t="s">
        <v>20</v>
      </c>
      <c r="D37" t="s">
        <v>16</v>
      </c>
      <c r="E37">
        <v>800979.78</v>
      </c>
      <c r="F37">
        <f t="shared" si="0"/>
        <v>1</v>
      </c>
      <c r="G37">
        <f t="shared" si="1"/>
        <v>0</v>
      </c>
      <c r="H37">
        <f t="shared" si="2"/>
        <v>0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>
      <c r="A38" t="s">
        <v>31</v>
      </c>
      <c r="B38" s="2">
        <v>45658</v>
      </c>
      <c r="C38" t="s">
        <v>20</v>
      </c>
      <c r="D38" t="s">
        <v>28</v>
      </c>
      <c r="E38">
        <v>820593.93</v>
      </c>
      <c r="F38">
        <f t="shared" si="0"/>
        <v>1</v>
      </c>
      <c r="G38">
        <f t="shared" si="1"/>
        <v>0</v>
      </c>
      <c r="H38">
        <f t="shared" si="2"/>
        <v>0</v>
      </c>
      <c r="I38">
        <f t="shared" si="3"/>
        <v>0</v>
      </c>
      <c r="J38">
        <f t="shared" si="4"/>
        <v>0</v>
      </c>
      <c r="K38">
        <f t="shared" si="5"/>
        <v>1</v>
      </c>
    </row>
    <row r="39" spans="1:11">
      <c r="A39" t="s">
        <v>31</v>
      </c>
      <c r="B39" s="2">
        <v>45689</v>
      </c>
      <c r="C39" t="s">
        <v>20</v>
      </c>
      <c r="D39" t="s">
        <v>28</v>
      </c>
      <c r="E39">
        <v>718330.53</v>
      </c>
      <c r="F39">
        <f t="shared" si="0"/>
        <v>1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  <c r="K39">
        <f t="shared" si="5"/>
        <v>1</v>
      </c>
    </row>
    <row r="40" spans="1:11">
      <c r="A40" t="s">
        <v>31</v>
      </c>
      <c r="B40" s="2">
        <v>45717</v>
      </c>
      <c r="C40" t="s">
        <v>20</v>
      </c>
      <c r="D40" t="s">
        <v>28</v>
      </c>
      <c r="E40">
        <v>736633.4</v>
      </c>
      <c r="F40">
        <f t="shared" si="0"/>
        <v>1</v>
      </c>
      <c r="G40">
        <f t="shared" si="1"/>
        <v>0</v>
      </c>
      <c r="H40">
        <f t="shared" si="2"/>
        <v>0</v>
      </c>
      <c r="I40">
        <f t="shared" si="3"/>
        <v>0</v>
      </c>
      <c r="J40">
        <f t="shared" si="4"/>
        <v>0</v>
      </c>
      <c r="K40">
        <f t="shared" si="5"/>
        <v>1</v>
      </c>
    </row>
    <row r="41" spans="1:11">
      <c r="A41" t="s">
        <v>31</v>
      </c>
      <c r="B41" s="2">
        <v>45748</v>
      </c>
      <c r="C41" t="s">
        <v>20</v>
      </c>
      <c r="D41" t="s">
        <v>28</v>
      </c>
      <c r="E41">
        <v>828623.85</v>
      </c>
      <c r="F41">
        <f t="shared" si="0"/>
        <v>1</v>
      </c>
      <c r="G41">
        <f t="shared" si="1"/>
        <v>0</v>
      </c>
      <c r="H41">
        <f t="shared" si="2"/>
        <v>0</v>
      </c>
      <c r="I41">
        <f t="shared" si="3"/>
        <v>0</v>
      </c>
      <c r="J41">
        <f t="shared" si="4"/>
        <v>0</v>
      </c>
      <c r="K41">
        <f t="shared" si="5"/>
        <v>1</v>
      </c>
    </row>
    <row r="42" spans="1:11">
      <c r="A42" t="s">
        <v>32</v>
      </c>
      <c r="B42" s="2">
        <v>45658</v>
      </c>
      <c r="C42" t="s">
        <v>15</v>
      </c>
      <c r="D42" t="s">
        <v>28</v>
      </c>
      <c r="E42">
        <v>592195.85</v>
      </c>
      <c r="F42">
        <f t="shared" si="0"/>
        <v>0</v>
      </c>
      <c r="G42">
        <f t="shared" si="1"/>
        <v>0</v>
      </c>
      <c r="H42">
        <f t="shared" si="2"/>
        <v>0</v>
      </c>
      <c r="I42">
        <f t="shared" si="3"/>
        <v>0</v>
      </c>
      <c r="J42">
        <f t="shared" si="4"/>
        <v>0</v>
      </c>
      <c r="K42">
        <f t="shared" si="5"/>
        <v>1</v>
      </c>
    </row>
    <row r="43" spans="1:11">
      <c r="A43" t="s">
        <v>32</v>
      </c>
      <c r="B43" s="2">
        <v>45689</v>
      </c>
      <c r="C43" t="s">
        <v>15</v>
      </c>
      <c r="D43" t="s">
        <v>28</v>
      </c>
      <c r="E43">
        <v>532644.46</v>
      </c>
      <c r="F43">
        <f t="shared" si="0"/>
        <v>0</v>
      </c>
      <c r="G43">
        <f t="shared" si="1"/>
        <v>0</v>
      </c>
      <c r="H43">
        <f t="shared" si="2"/>
        <v>0</v>
      </c>
      <c r="I43">
        <f t="shared" si="3"/>
        <v>0</v>
      </c>
      <c r="J43">
        <f t="shared" si="4"/>
        <v>0</v>
      </c>
      <c r="K43">
        <f t="shared" si="5"/>
        <v>1</v>
      </c>
    </row>
    <row r="44" spans="1:11">
      <c r="A44" t="s">
        <v>32</v>
      </c>
      <c r="B44" s="2">
        <v>45717</v>
      </c>
      <c r="C44" t="s">
        <v>15</v>
      </c>
      <c r="D44" t="s">
        <v>28</v>
      </c>
      <c r="E44">
        <v>657429.18000000005</v>
      </c>
      <c r="F44">
        <f t="shared" si="0"/>
        <v>0</v>
      </c>
      <c r="G44">
        <f t="shared" si="1"/>
        <v>0</v>
      </c>
      <c r="H44">
        <f t="shared" si="2"/>
        <v>0</v>
      </c>
      <c r="I44">
        <f t="shared" si="3"/>
        <v>0</v>
      </c>
      <c r="J44">
        <f t="shared" si="4"/>
        <v>0</v>
      </c>
      <c r="K44">
        <f t="shared" si="5"/>
        <v>1</v>
      </c>
    </row>
    <row r="45" spans="1:11">
      <c r="A45" t="s">
        <v>32</v>
      </c>
      <c r="B45" s="2">
        <v>45748</v>
      </c>
      <c r="C45" t="s">
        <v>15</v>
      </c>
      <c r="D45" t="s">
        <v>28</v>
      </c>
      <c r="E45">
        <v>605178</v>
      </c>
      <c r="F45">
        <f t="shared" si="0"/>
        <v>0</v>
      </c>
      <c r="G45">
        <f t="shared" si="1"/>
        <v>0</v>
      </c>
      <c r="H45">
        <f t="shared" si="2"/>
        <v>0</v>
      </c>
      <c r="I45">
        <f t="shared" si="3"/>
        <v>0</v>
      </c>
      <c r="J45">
        <f t="shared" si="4"/>
        <v>0</v>
      </c>
      <c r="K45">
        <f t="shared" si="5"/>
        <v>1</v>
      </c>
    </row>
    <row r="46" spans="1:11">
      <c r="A46" t="s">
        <v>33</v>
      </c>
      <c r="B46" s="2">
        <v>45658</v>
      </c>
      <c r="C46" t="s">
        <v>27</v>
      </c>
      <c r="D46" t="s">
        <v>16</v>
      </c>
      <c r="E46">
        <v>595467.6</v>
      </c>
      <c r="F46">
        <f t="shared" si="0"/>
        <v>0</v>
      </c>
      <c r="G46">
        <f t="shared" si="1"/>
        <v>0</v>
      </c>
      <c r="H46">
        <f t="shared" si="2"/>
        <v>1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>
      <c r="A47" t="s">
        <v>33</v>
      </c>
      <c r="B47" s="2">
        <v>45689</v>
      </c>
      <c r="C47" t="s">
        <v>27</v>
      </c>
      <c r="D47" t="s">
        <v>16</v>
      </c>
      <c r="E47">
        <v>599603.4</v>
      </c>
      <c r="F47">
        <f t="shared" si="0"/>
        <v>0</v>
      </c>
      <c r="G47">
        <f t="shared" si="1"/>
        <v>0</v>
      </c>
      <c r="H47">
        <f t="shared" si="2"/>
        <v>1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>
      <c r="A48" t="s">
        <v>33</v>
      </c>
      <c r="B48" s="2">
        <v>45717</v>
      </c>
      <c r="C48" t="s">
        <v>27</v>
      </c>
      <c r="D48" t="s">
        <v>16</v>
      </c>
      <c r="E48">
        <v>614800.09</v>
      </c>
      <c r="F48">
        <f t="shared" si="0"/>
        <v>0</v>
      </c>
      <c r="G48">
        <f t="shared" si="1"/>
        <v>0</v>
      </c>
      <c r="H48">
        <f t="shared" si="2"/>
        <v>1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>
      <c r="A49" t="s">
        <v>33</v>
      </c>
      <c r="B49" s="2">
        <v>45748</v>
      </c>
      <c r="C49" t="s">
        <v>27</v>
      </c>
      <c r="D49" t="s">
        <v>16</v>
      </c>
      <c r="E49">
        <v>585365.73</v>
      </c>
      <c r="F49">
        <f t="shared" si="0"/>
        <v>0</v>
      </c>
      <c r="G49">
        <f t="shared" si="1"/>
        <v>0</v>
      </c>
      <c r="H49">
        <f t="shared" si="2"/>
        <v>1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>
      <c r="A50" t="s">
        <v>34</v>
      </c>
      <c r="B50" s="2">
        <v>45658</v>
      </c>
      <c r="C50" t="s">
        <v>20</v>
      </c>
      <c r="D50" t="s">
        <v>28</v>
      </c>
      <c r="E50">
        <v>622811.74</v>
      </c>
      <c r="F50">
        <f t="shared" si="0"/>
        <v>1</v>
      </c>
      <c r="G50">
        <f t="shared" si="1"/>
        <v>0</v>
      </c>
      <c r="H50">
        <f t="shared" si="2"/>
        <v>0</v>
      </c>
      <c r="I50">
        <f t="shared" si="3"/>
        <v>0</v>
      </c>
      <c r="J50">
        <f t="shared" si="4"/>
        <v>0</v>
      </c>
      <c r="K50">
        <f t="shared" si="5"/>
        <v>1</v>
      </c>
    </row>
    <row r="51" spans="1:11">
      <c r="A51" t="s">
        <v>34</v>
      </c>
      <c r="B51" s="2">
        <v>45689</v>
      </c>
      <c r="C51" t="s">
        <v>20</v>
      </c>
      <c r="D51" t="s">
        <v>28</v>
      </c>
      <c r="E51">
        <v>603297.56999999995</v>
      </c>
      <c r="F51">
        <f t="shared" si="0"/>
        <v>1</v>
      </c>
      <c r="G51">
        <f t="shared" si="1"/>
        <v>0</v>
      </c>
      <c r="H51">
        <f t="shared" si="2"/>
        <v>0</v>
      </c>
      <c r="I51">
        <f t="shared" si="3"/>
        <v>0</v>
      </c>
      <c r="J51">
        <f t="shared" si="4"/>
        <v>0</v>
      </c>
      <c r="K51">
        <f t="shared" si="5"/>
        <v>1</v>
      </c>
    </row>
    <row r="52" spans="1:11">
      <c r="A52" t="s">
        <v>34</v>
      </c>
      <c r="B52" s="2">
        <v>45717</v>
      </c>
      <c r="C52" t="s">
        <v>20</v>
      </c>
      <c r="D52" t="s">
        <v>28</v>
      </c>
      <c r="E52">
        <v>625672.86</v>
      </c>
      <c r="F52">
        <f t="shared" si="0"/>
        <v>1</v>
      </c>
      <c r="G52">
        <f t="shared" si="1"/>
        <v>0</v>
      </c>
      <c r="H52">
        <f t="shared" si="2"/>
        <v>0</v>
      </c>
      <c r="I52">
        <f t="shared" si="3"/>
        <v>0</v>
      </c>
      <c r="J52">
        <f t="shared" si="4"/>
        <v>0</v>
      </c>
      <c r="K52">
        <f t="shared" si="5"/>
        <v>1</v>
      </c>
    </row>
    <row r="53" spans="1:11">
      <c r="A53" t="s">
        <v>34</v>
      </c>
      <c r="B53" s="2">
        <v>45748</v>
      </c>
      <c r="C53" t="s">
        <v>20</v>
      </c>
      <c r="D53" t="s">
        <v>28</v>
      </c>
      <c r="E53">
        <v>773815.14</v>
      </c>
      <c r="F53">
        <f t="shared" si="0"/>
        <v>1</v>
      </c>
      <c r="G53">
        <f t="shared" si="1"/>
        <v>0</v>
      </c>
      <c r="H53">
        <f t="shared" si="2"/>
        <v>0</v>
      </c>
      <c r="I53">
        <f t="shared" si="3"/>
        <v>0</v>
      </c>
      <c r="J53">
        <f t="shared" si="4"/>
        <v>0</v>
      </c>
      <c r="K53">
        <f t="shared" si="5"/>
        <v>1</v>
      </c>
    </row>
    <row r="54" spans="1:11">
      <c r="A54" t="s">
        <v>35</v>
      </c>
      <c r="B54" s="2">
        <v>45658</v>
      </c>
      <c r="C54" t="s">
        <v>27</v>
      </c>
      <c r="D54" t="s">
        <v>18</v>
      </c>
      <c r="E54">
        <v>463534.25</v>
      </c>
      <c r="F54">
        <f t="shared" si="0"/>
        <v>0</v>
      </c>
      <c r="G54">
        <f t="shared" si="1"/>
        <v>0</v>
      </c>
      <c r="H54">
        <f t="shared" si="2"/>
        <v>1</v>
      </c>
      <c r="I54">
        <f t="shared" si="3"/>
        <v>0</v>
      </c>
      <c r="J54">
        <f t="shared" si="4"/>
        <v>1</v>
      </c>
      <c r="K54">
        <f t="shared" si="5"/>
        <v>0</v>
      </c>
    </row>
    <row r="55" spans="1:11">
      <c r="A55" t="s">
        <v>35</v>
      </c>
      <c r="B55" s="2">
        <v>45689</v>
      </c>
      <c r="C55" t="s">
        <v>27</v>
      </c>
      <c r="D55" t="s">
        <v>18</v>
      </c>
      <c r="E55">
        <v>746677.75</v>
      </c>
      <c r="F55">
        <f t="shared" si="0"/>
        <v>0</v>
      </c>
      <c r="G55">
        <f t="shared" si="1"/>
        <v>0</v>
      </c>
      <c r="H55">
        <f t="shared" si="2"/>
        <v>1</v>
      </c>
      <c r="I55">
        <f t="shared" si="3"/>
        <v>0</v>
      </c>
      <c r="J55">
        <f t="shared" si="4"/>
        <v>1</v>
      </c>
      <c r="K55">
        <f t="shared" si="5"/>
        <v>0</v>
      </c>
    </row>
    <row r="56" spans="1:11">
      <c r="A56" t="s">
        <v>35</v>
      </c>
      <c r="B56" s="2">
        <v>45717</v>
      </c>
      <c r="C56" t="s">
        <v>27</v>
      </c>
      <c r="D56" t="s">
        <v>18</v>
      </c>
      <c r="E56">
        <v>720852.5</v>
      </c>
      <c r="F56">
        <f t="shared" si="0"/>
        <v>0</v>
      </c>
      <c r="G56">
        <f t="shared" si="1"/>
        <v>0</v>
      </c>
      <c r="H56">
        <f t="shared" si="2"/>
        <v>1</v>
      </c>
      <c r="I56">
        <f t="shared" si="3"/>
        <v>0</v>
      </c>
      <c r="J56">
        <f t="shared" si="4"/>
        <v>1</v>
      </c>
      <c r="K56">
        <f t="shared" si="5"/>
        <v>0</v>
      </c>
    </row>
    <row r="57" spans="1:11">
      <c r="A57" t="s">
        <v>35</v>
      </c>
      <c r="B57" s="2">
        <v>45748</v>
      </c>
      <c r="C57" t="s">
        <v>27</v>
      </c>
      <c r="D57" t="s">
        <v>18</v>
      </c>
      <c r="E57">
        <v>487464.91</v>
      </c>
      <c r="F57">
        <f t="shared" si="0"/>
        <v>0</v>
      </c>
      <c r="G57">
        <f t="shared" si="1"/>
        <v>0</v>
      </c>
      <c r="H57">
        <f t="shared" si="2"/>
        <v>1</v>
      </c>
      <c r="I57">
        <f t="shared" si="3"/>
        <v>0</v>
      </c>
      <c r="J57">
        <f t="shared" si="4"/>
        <v>1</v>
      </c>
      <c r="K57">
        <f t="shared" si="5"/>
        <v>0</v>
      </c>
    </row>
    <row r="58" spans="1:11">
      <c r="A58" t="s">
        <v>36</v>
      </c>
      <c r="B58" s="2">
        <v>45658</v>
      </c>
      <c r="C58" t="s">
        <v>15</v>
      </c>
      <c r="D58" t="s">
        <v>21</v>
      </c>
      <c r="E58">
        <v>518049.26</v>
      </c>
      <c r="F58">
        <f t="shared" si="0"/>
        <v>0</v>
      </c>
      <c r="G58">
        <f t="shared" si="1"/>
        <v>0</v>
      </c>
      <c r="H58">
        <f t="shared" si="2"/>
        <v>0</v>
      </c>
      <c r="I58">
        <f t="shared" si="3"/>
        <v>1</v>
      </c>
      <c r="J58">
        <f t="shared" si="4"/>
        <v>0</v>
      </c>
      <c r="K58">
        <f t="shared" si="5"/>
        <v>0</v>
      </c>
    </row>
    <row r="59" spans="1:11">
      <c r="A59" t="s">
        <v>36</v>
      </c>
      <c r="B59" s="2">
        <v>45689</v>
      </c>
      <c r="C59" t="s">
        <v>15</v>
      </c>
      <c r="D59" t="s">
        <v>21</v>
      </c>
      <c r="E59">
        <v>500298.48</v>
      </c>
      <c r="F59">
        <f t="shared" si="0"/>
        <v>0</v>
      </c>
      <c r="G59">
        <f t="shared" si="1"/>
        <v>0</v>
      </c>
      <c r="H59">
        <f t="shared" si="2"/>
        <v>0</v>
      </c>
      <c r="I59">
        <f t="shared" si="3"/>
        <v>1</v>
      </c>
      <c r="J59">
        <f t="shared" si="4"/>
        <v>0</v>
      </c>
      <c r="K59">
        <f t="shared" si="5"/>
        <v>0</v>
      </c>
    </row>
    <row r="60" spans="1:11">
      <c r="A60" t="s">
        <v>36</v>
      </c>
      <c r="B60" s="2">
        <v>45717</v>
      </c>
      <c r="C60" t="s">
        <v>15</v>
      </c>
      <c r="D60" t="s">
        <v>21</v>
      </c>
      <c r="E60">
        <v>617291.15</v>
      </c>
      <c r="F60">
        <f t="shared" si="0"/>
        <v>0</v>
      </c>
      <c r="G60">
        <f t="shared" si="1"/>
        <v>0</v>
      </c>
      <c r="H60">
        <f t="shared" si="2"/>
        <v>0</v>
      </c>
      <c r="I60">
        <f t="shared" si="3"/>
        <v>1</v>
      </c>
      <c r="J60">
        <f t="shared" si="4"/>
        <v>0</v>
      </c>
      <c r="K60">
        <f t="shared" si="5"/>
        <v>0</v>
      </c>
    </row>
    <row r="61" spans="1:11">
      <c r="A61" t="s">
        <v>36</v>
      </c>
      <c r="B61" s="2">
        <v>45748</v>
      </c>
      <c r="C61" t="s">
        <v>15</v>
      </c>
      <c r="D61" t="s">
        <v>21</v>
      </c>
      <c r="E61">
        <v>553756.43000000005</v>
      </c>
      <c r="F61">
        <f t="shared" si="0"/>
        <v>0</v>
      </c>
      <c r="G61">
        <f t="shared" si="1"/>
        <v>0</v>
      </c>
      <c r="H61">
        <f t="shared" si="2"/>
        <v>0</v>
      </c>
      <c r="I61">
        <f t="shared" si="3"/>
        <v>1</v>
      </c>
      <c r="J61">
        <f t="shared" si="4"/>
        <v>0</v>
      </c>
      <c r="K61">
        <f t="shared" si="5"/>
        <v>0</v>
      </c>
    </row>
    <row r="62" spans="1:11">
      <c r="A62" t="s">
        <v>37</v>
      </c>
      <c r="B62" s="2">
        <v>45658</v>
      </c>
      <c r="C62" t="s">
        <v>24</v>
      </c>
      <c r="D62" t="s">
        <v>18</v>
      </c>
      <c r="E62">
        <v>749559.71</v>
      </c>
      <c r="F62">
        <f t="shared" si="0"/>
        <v>0</v>
      </c>
      <c r="G62">
        <f t="shared" si="1"/>
        <v>1</v>
      </c>
      <c r="H62">
        <f t="shared" si="2"/>
        <v>0</v>
      </c>
      <c r="I62">
        <f t="shared" si="3"/>
        <v>0</v>
      </c>
      <c r="J62">
        <f t="shared" si="4"/>
        <v>1</v>
      </c>
      <c r="K62">
        <f t="shared" si="5"/>
        <v>0</v>
      </c>
    </row>
    <row r="63" spans="1:11">
      <c r="A63" t="s">
        <v>37</v>
      </c>
      <c r="B63" s="2">
        <v>45689</v>
      </c>
      <c r="C63" t="s">
        <v>24</v>
      </c>
      <c r="D63" t="s">
        <v>18</v>
      </c>
      <c r="E63">
        <v>615966.48</v>
      </c>
      <c r="F63">
        <f t="shared" si="0"/>
        <v>0</v>
      </c>
      <c r="G63">
        <f t="shared" si="1"/>
        <v>1</v>
      </c>
      <c r="H63">
        <f t="shared" si="2"/>
        <v>0</v>
      </c>
      <c r="I63">
        <f t="shared" si="3"/>
        <v>0</v>
      </c>
      <c r="J63">
        <f t="shared" si="4"/>
        <v>1</v>
      </c>
      <c r="K63">
        <f t="shared" si="5"/>
        <v>0</v>
      </c>
    </row>
    <row r="64" spans="1:11">
      <c r="A64" t="s">
        <v>37</v>
      </c>
      <c r="B64" s="2">
        <v>45717</v>
      </c>
      <c r="C64" t="s">
        <v>24</v>
      </c>
      <c r="D64" t="s">
        <v>18</v>
      </c>
      <c r="E64">
        <v>572011.19999999995</v>
      </c>
      <c r="F64">
        <f t="shared" si="0"/>
        <v>0</v>
      </c>
      <c r="G64">
        <f t="shared" si="1"/>
        <v>1</v>
      </c>
      <c r="H64">
        <f t="shared" si="2"/>
        <v>0</v>
      </c>
      <c r="I64">
        <f t="shared" si="3"/>
        <v>0</v>
      </c>
      <c r="J64">
        <f t="shared" si="4"/>
        <v>1</v>
      </c>
      <c r="K64">
        <f t="shared" si="5"/>
        <v>0</v>
      </c>
    </row>
    <row r="65" spans="1:11">
      <c r="A65" t="s">
        <v>37</v>
      </c>
      <c r="B65" s="2">
        <v>45748</v>
      </c>
      <c r="C65" t="s">
        <v>24</v>
      </c>
      <c r="D65" t="s">
        <v>18</v>
      </c>
      <c r="E65">
        <v>761860.19</v>
      </c>
      <c r="F65">
        <f t="shared" si="0"/>
        <v>0</v>
      </c>
      <c r="G65">
        <f t="shared" si="1"/>
        <v>1</v>
      </c>
      <c r="H65">
        <f t="shared" si="2"/>
        <v>0</v>
      </c>
      <c r="I65">
        <f t="shared" si="3"/>
        <v>0</v>
      </c>
      <c r="J65">
        <f t="shared" si="4"/>
        <v>1</v>
      </c>
      <c r="K65">
        <f t="shared" si="5"/>
        <v>0</v>
      </c>
    </row>
    <row r="66" spans="1:11">
      <c r="A66" t="s">
        <v>38</v>
      </c>
      <c r="B66" s="2">
        <v>45658</v>
      </c>
      <c r="C66" t="s">
        <v>27</v>
      </c>
      <c r="D66" t="s">
        <v>18</v>
      </c>
      <c r="E66">
        <v>784502.68</v>
      </c>
      <c r="F66">
        <f t="shared" si="0"/>
        <v>0</v>
      </c>
      <c r="G66">
        <f t="shared" si="1"/>
        <v>0</v>
      </c>
      <c r="H66">
        <f t="shared" si="2"/>
        <v>1</v>
      </c>
      <c r="I66">
        <f t="shared" si="3"/>
        <v>0</v>
      </c>
      <c r="J66">
        <f t="shared" si="4"/>
        <v>1</v>
      </c>
      <c r="K66">
        <f t="shared" si="5"/>
        <v>0</v>
      </c>
    </row>
    <row r="67" spans="1:11">
      <c r="A67" t="s">
        <v>38</v>
      </c>
      <c r="B67" s="2">
        <v>45689</v>
      </c>
      <c r="C67" t="s">
        <v>27</v>
      </c>
      <c r="D67" t="s">
        <v>18</v>
      </c>
      <c r="E67">
        <v>717141.55</v>
      </c>
      <c r="F67">
        <f t="shared" ref="F67:F130" si="6">IF(C67="North",1,0)</f>
        <v>0</v>
      </c>
      <c r="G67">
        <f t="shared" ref="G67:G130" si="7">IF(C67="South",1,0)</f>
        <v>0</v>
      </c>
      <c r="H67">
        <f t="shared" ref="H67:H130" si="8">IF(C67="West",1,0)</f>
        <v>1</v>
      </c>
      <c r="I67">
        <f t="shared" ref="I67:I130" si="9">IF(D67="Airport",1,0)</f>
        <v>0</v>
      </c>
      <c r="J67">
        <f t="shared" ref="J67:J130" si="10">IF(D67="High Street",1,0)</f>
        <v>1</v>
      </c>
      <c r="K67">
        <f t="shared" ref="K67:K130" si="11">IF(D67="Mall",1,0)</f>
        <v>0</v>
      </c>
    </row>
    <row r="68" spans="1:11">
      <c r="A68" t="s">
        <v>38</v>
      </c>
      <c r="B68" s="2">
        <v>45717</v>
      </c>
      <c r="C68" t="s">
        <v>27</v>
      </c>
      <c r="D68" t="s">
        <v>18</v>
      </c>
      <c r="E68">
        <v>685379.08</v>
      </c>
      <c r="F68">
        <f t="shared" si="6"/>
        <v>0</v>
      </c>
      <c r="G68">
        <f t="shared" si="7"/>
        <v>0</v>
      </c>
      <c r="H68">
        <f t="shared" si="8"/>
        <v>1</v>
      </c>
      <c r="I68">
        <f t="shared" si="9"/>
        <v>0</v>
      </c>
      <c r="J68">
        <f t="shared" si="10"/>
        <v>1</v>
      </c>
      <c r="K68">
        <f t="shared" si="11"/>
        <v>0</v>
      </c>
    </row>
    <row r="69" spans="1:11">
      <c r="A69" t="s">
        <v>38</v>
      </c>
      <c r="B69" s="2">
        <v>45748</v>
      </c>
      <c r="C69" t="s">
        <v>27</v>
      </c>
      <c r="D69" t="s">
        <v>18</v>
      </c>
      <c r="E69">
        <v>740496.65</v>
      </c>
      <c r="F69">
        <f t="shared" si="6"/>
        <v>0</v>
      </c>
      <c r="G69">
        <f t="shared" si="7"/>
        <v>0</v>
      </c>
      <c r="H69">
        <f t="shared" si="8"/>
        <v>1</v>
      </c>
      <c r="I69">
        <f t="shared" si="9"/>
        <v>0</v>
      </c>
      <c r="J69">
        <f t="shared" si="10"/>
        <v>1</v>
      </c>
      <c r="K69">
        <f t="shared" si="11"/>
        <v>0</v>
      </c>
    </row>
    <row r="70" spans="1:11">
      <c r="A70" t="s">
        <v>39</v>
      </c>
      <c r="B70" s="2">
        <v>45658</v>
      </c>
      <c r="C70" t="s">
        <v>15</v>
      </c>
      <c r="D70" t="s">
        <v>18</v>
      </c>
      <c r="E70">
        <v>661927.14</v>
      </c>
      <c r="F70">
        <f t="shared" si="6"/>
        <v>0</v>
      </c>
      <c r="G70">
        <f t="shared" si="7"/>
        <v>0</v>
      </c>
      <c r="H70">
        <f t="shared" si="8"/>
        <v>0</v>
      </c>
      <c r="I70">
        <f t="shared" si="9"/>
        <v>0</v>
      </c>
      <c r="J70">
        <f t="shared" si="10"/>
        <v>1</v>
      </c>
      <c r="K70">
        <f t="shared" si="11"/>
        <v>0</v>
      </c>
    </row>
    <row r="71" spans="1:11">
      <c r="A71" t="s">
        <v>39</v>
      </c>
      <c r="B71" s="2">
        <v>45689</v>
      </c>
      <c r="C71" t="s">
        <v>15</v>
      </c>
      <c r="D71" t="s">
        <v>18</v>
      </c>
      <c r="E71">
        <v>479050.5</v>
      </c>
      <c r="F71">
        <f t="shared" si="6"/>
        <v>0</v>
      </c>
      <c r="G71">
        <f t="shared" si="7"/>
        <v>0</v>
      </c>
      <c r="H71">
        <f t="shared" si="8"/>
        <v>0</v>
      </c>
      <c r="I71">
        <f t="shared" si="9"/>
        <v>0</v>
      </c>
      <c r="J71">
        <f t="shared" si="10"/>
        <v>1</v>
      </c>
      <c r="K71">
        <f t="shared" si="11"/>
        <v>0</v>
      </c>
    </row>
    <row r="72" spans="1:11">
      <c r="A72" t="s">
        <v>39</v>
      </c>
      <c r="B72" s="2">
        <v>45717</v>
      </c>
      <c r="C72" t="s">
        <v>15</v>
      </c>
      <c r="D72" t="s">
        <v>18</v>
      </c>
      <c r="E72">
        <v>605023.87</v>
      </c>
      <c r="F72">
        <f t="shared" si="6"/>
        <v>0</v>
      </c>
      <c r="G72">
        <f t="shared" si="7"/>
        <v>0</v>
      </c>
      <c r="H72">
        <f t="shared" si="8"/>
        <v>0</v>
      </c>
      <c r="I72">
        <f t="shared" si="9"/>
        <v>0</v>
      </c>
      <c r="J72">
        <f t="shared" si="10"/>
        <v>1</v>
      </c>
      <c r="K72">
        <f t="shared" si="11"/>
        <v>0</v>
      </c>
    </row>
    <row r="73" spans="1:11">
      <c r="A73" t="s">
        <v>39</v>
      </c>
      <c r="B73" s="2">
        <v>45748</v>
      </c>
      <c r="C73" t="s">
        <v>15</v>
      </c>
      <c r="D73" t="s">
        <v>18</v>
      </c>
      <c r="E73">
        <v>674774.09</v>
      </c>
      <c r="F73">
        <f t="shared" si="6"/>
        <v>0</v>
      </c>
      <c r="G73">
        <f t="shared" si="7"/>
        <v>0</v>
      </c>
      <c r="H73">
        <f t="shared" si="8"/>
        <v>0</v>
      </c>
      <c r="I73">
        <f t="shared" si="9"/>
        <v>0</v>
      </c>
      <c r="J73">
        <f t="shared" si="10"/>
        <v>1</v>
      </c>
      <c r="K73">
        <f t="shared" si="11"/>
        <v>0</v>
      </c>
    </row>
    <row r="74" spans="1:11">
      <c r="A74" t="s">
        <v>40</v>
      </c>
      <c r="B74" s="2">
        <v>45658</v>
      </c>
      <c r="C74" t="s">
        <v>15</v>
      </c>
      <c r="D74" t="s">
        <v>16</v>
      </c>
      <c r="E74">
        <v>616069.41</v>
      </c>
      <c r="F74">
        <f t="shared" si="6"/>
        <v>0</v>
      </c>
      <c r="G74">
        <f t="shared" si="7"/>
        <v>0</v>
      </c>
      <c r="H74">
        <f t="shared" si="8"/>
        <v>0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>
      <c r="A75" t="s">
        <v>40</v>
      </c>
      <c r="B75" s="2">
        <v>45689</v>
      </c>
      <c r="C75" t="s">
        <v>15</v>
      </c>
      <c r="D75" t="s">
        <v>16</v>
      </c>
      <c r="E75">
        <v>630829.93999999994</v>
      </c>
      <c r="F75">
        <f t="shared" si="6"/>
        <v>0</v>
      </c>
      <c r="G75">
        <f t="shared" si="7"/>
        <v>0</v>
      </c>
      <c r="H75">
        <f t="shared" si="8"/>
        <v>0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>
      <c r="A76" t="s">
        <v>40</v>
      </c>
      <c r="B76" s="2">
        <v>45717</v>
      </c>
      <c r="C76" t="s">
        <v>15</v>
      </c>
      <c r="D76" t="s">
        <v>16</v>
      </c>
      <c r="E76">
        <v>788087.68</v>
      </c>
      <c r="F76">
        <f t="shared" si="6"/>
        <v>0</v>
      </c>
      <c r="G76">
        <f t="shared" si="7"/>
        <v>0</v>
      </c>
      <c r="H76">
        <f t="shared" si="8"/>
        <v>0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>
      <c r="A77" t="s">
        <v>40</v>
      </c>
      <c r="B77" s="2">
        <v>45748</v>
      </c>
      <c r="C77" t="s">
        <v>15</v>
      </c>
      <c r="D77" t="s">
        <v>16</v>
      </c>
      <c r="E77">
        <v>680840.36</v>
      </c>
      <c r="F77">
        <f t="shared" si="6"/>
        <v>0</v>
      </c>
      <c r="G77">
        <f t="shared" si="7"/>
        <v>0</v>
      </c>
      <c r="H77">
        <f t="shared" si="8"/>
        <v>0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>
      <c r="A78" t="s">
        <v>41</v>
      </c>
      <c r="B78" s="2">
        <v>45658</v>
      </c>
      <c r="C78" t="s">
        <v>24</v>
      </c>
      <c r="D78" t="s">
        <v>18</v>
      </c>
      <c r="E78">
        <v>643657.47</v>
      </c>
      <c r="F78">
        <f t="shared" si="6"/>
        <v>0</v>
      </c>
      <c r="G78">
        <f t="shared" si="7"/>
        <v>1</v>
      </c>
      <c r="H78">
        <f t="shared" si="8"/>
        <v>0</v>
      </c>
      <c r="I78">
        <f t="shared" si="9"/>
        <v>0</v>
      </c>
      <c r="J78">
        <f t="shared" si="10"/>
        <v>1</v>
      </c>
      <c r="K78">
        <f t="shared" si="11"/>
        <v>0</v>
      </c>
    </row>
    <row r="79" spans="1:11">
      <c r="A79" t="s">
        <v>41</v>
      </c>
      <c r="B79" s="2">
        <v>45689</v>
      </c>
      <c r="C79" t="s">
        <v>24</v>
      </c>
      <c r="D79" t="s">
        <v>18</v>
      </c>
      <c r="E79">
        <v>691112.6</v>
      </c>
      <c r="F79">
        <f t="shared" si="6"/>
        <v>0</v>
      </c>
      <c r="G79">
        <f t="shared" si="7"/>
        <v>1</v>
      </c>
      <c r="H79">
        <f t="shared" si="8"/>
        <v>0</v>
      </c>
      <c r="I79">
        <f t="shared" si="9"/>
        <v>0</v>
      </c>
      <c r="J79">
        <f t="shared" si="10"/>
        <v>1</v>
      </c>
      <c r="K79">
        <f t="shared" si="11"/>
        <v>0</v>
      </c>
    </row>
    <row r="80" spans="1:11">
      <c r="A80" t="s">
        <v>41</v>
      </c>
      <c r="B80" s="2">
        <v>45717</v>
      </c>
      <c r="C80" t="s">
        <v>24</v>
      </c>
      <c r="D80" t="s">
        <v>18</v>
      </c>
      <c r="E80">
        <v>776922.17</v>
      </c>
      <c r="F80">
        <f t="shared" si="6"/>
        <v>0</v>
      </c>
      <c r="G80">
        <f t="shared" si="7"/>
        <v>1</v>
      </c>
      <c r="H80">
        <f t="shared" si="8"/>
        <v>0</v>
      </c>
      <c r="I80">
        <f t="shared" si="9"/>
        <v>0</v>
      </c>
      <c r="J80">
        <f t="shared" si="10"/>
        <v>1</v>
      </c>
      <c r="K80">
        <f t="shared" si="11"/>
        <v>0</v>
      </c>
    </row>
    <row r="81" spans="1:11">
      <c r="A81" t="s">
        <v>41</v>
      </c>
      <c r="B81" s="2">
        <v>45748</v>
      </c>
      <c r="C81" t="s">
        <v>24</v>
      </c>
      <c r="D81" t="s">
        <v>18</v>
      </c>
      <c r="E81">
        <v>636561.34</v>
      </c>
      <c r="F81">
        <f t="shared" si="6"/>
        <v>0</v>
      </c>
      <c r="G81">
        <f t="shared" si="7"/>
        <v>1</v>
      </c>
      <c r="H81">
        <f t="shared" si="8"/>
        <v>0</v>
      </c>
      <c r="I81">
        <f t="shared" si="9"/>
        <v>0</v>
      </c>
      <c r="J81">
        <f t="shared" si="10"/>
        <v>1</v>
      </c>
      <c r="K81">
        <f t="shared" si="11"/>
        <v>0</v>
      </c>
    </row>
    <row r="82" spans="1:11">
      <c r="A82" t="s">
        <v>42</v>
      </c>
      <c r="B82" s="2">
        <v>45658</v>
      </c>
      <c r="C82" t="s">
        <v>27</v>
      </c>
      <c r="D82" t="s">
        <v>28</v>
      </c>
      <c r="E82">
        <v>621369.57999999996</v>
      </c>
      <c r="F82">
        <f t="shared" si="6"/>
        <v>0</v>
      </c>
      <c r="G82">
        <f t="shared" si="7"/>
        <v>0</v>
      </c>
      <c r="H82">
        <f t="shared" si="8"/>
        <v>1</v>
      </c>
      <c r="I82">
        <f t="shared" si="9"/>
        <v>0</v>
      </c>
      <c r="J82">
        <f t="shared" si="10"/>
        <v>0</v>
      </c>
      <c r="K82">
        <f t="shared" si="11"/>
        <v>1</v>
      </c>
    </row>
    <row r="83" spans="1:11">
      <c r="A83" t="s">
        <v>42</v>
      </c>
      <c r="B83" s="2">
        <v>45689</v>
      </c>
      <c r="C83" t="s">
        <v>27</v>
      </c>
      <c r="D83" t="s">
        <v>28</v>
      </c>
      <c r="E83">
        <v>682208.01</v>
      </c>
      <c r="F83">
        <f t="shared" si="6"/>
        <v>0</v>
      </c>
      <c r="G83">
        <f t="shared" si="7"/>
        <v>0</v>
      </c>
      <c r="H83">
        <f t="shared" si="8"/>
        <v>1</v>
      </c>
      <c r="I83">
        <f t="shared" si="9"/>
        <v>0</v>
      </c>
      <c r="J83">
        <f t="shared" si="10"/>
        <v>0</v>
      </c>
      <c r="K83">
        <f t="shared" si="11"/>
        <v>1</v>
      </c>
    </row>
    <row r="84" spans="1:11">
      <c r="A84" t="s">
        <v>42</v>
      </c>
      <c r="B84" s="2">
        <v>45717</v>
      </c>
      <c r="C84" t="s">
        <v>27</v>
      </c>
      <c r="D84" t="s">
        <v>28</v>
      </c>
      <c r="E84">
        <v>727241.86</v>
      </c>
      <c r="F84">
        <f t="shared" si="6"/>
        <v>0</v>
      </c>
      <c r="G84">
        <f t="shared" si="7"/>
        <v>0</v>
      </c>
      <c r="H84">
        <f t="shared" si="8"/>
        <v>1</v>
      </c>
      <c r="I84">
        <f t="shared" si="9"/>
        <v>0</v>
      </c>
      <c r="J84">
        <f t="shared" si="10"/>
        <v>0</v>
      </c>
      <c r="K84">
        <f t="shared" si="11"/>
        <v>1</v>
      </c>
    </row>
    <row r="85" spans="1:11">
      <c r="A85" t="s">
        <v>42</v>
      </c>
      <c r="B85" s="2">
        <v>45748</v>
      </c>
      <c r="C85" t="s">
        <v>27</v>
      </c>
      <c r="D85" t="s">
        <v>28</v>
      </c>
      <c r="E85">
        <v>569100.78</v>
      </c>
      <c r="F85">
        <f t="shared" si="6"/>
        <v>0</v>
      </c>
      <c r="G85">
        <f t="shared" si="7"/>
        <v>0</v>
      </c>
      <c r="H85">
        <f t="shared" si="8"/>
        <v>1</v>
      </c>
      <c r="I85">
        <f t="shared" si="9"/>
        <v>0</v>
      </c>
      <c r="J85">
        <f t="shared" si="10"/>
        <v>0</v>
      </c>
      <c r="K85">
        <f t="shared" si="11"/>
        <v>1</v>
      </c>
    </row>
    <row r="86" spans="1:11">
      <c r="A86" t="s">
        <v>43</v>
      </c>
      <c r="B86" s="2">
        <v>45658</v>
      </c>
      <c r="C86" t="s">
        <v>27</v>
      </c>
      <c r="D86" t="s">
        <v>18</v>
      </c>
      <c r="E86">
        <v>574436.29</v>
      </c>
      <c r="F86">
        <f t="shared" si="6"/>
        <v>0</v>
      </c>
      <c r="G86">
        <f t="shared" si="7"/>
        <v>0</v>
      </c>
      <c r="H86">
        <f t="shared" si="8"/>
        <v>1</v>
      </c>
      <c r="I86">
        <f t="shared" si="9"/>
        <v>0</v>
      </c>
      <c r="J86">
        <f t="shared" si="10"/>
        <v>1</v>
      </c>
      <c r="K86">
        <f t="shared" si="11"/>
        <v>0</v>
      </c>
    </row>
    <row r="87" spans="1:11">
      <c r="A87" t="s">
        <v>43</v>
      </c>
      <c r="B87" s="2">
        <v>45689</v>
      </c>
      <c r="C87" t="s">
        <v>27</v>
      </c>
      <c r="D87" t="s">
        <v>18</v>
      </c>
      <c r="E87">
        <v>611766.72</v>
      </c>
      <c r="F87">
        <f t="shared" si="6"/>
        <v>0</v>
      </c>
      <c r="G87">
        <f t="shared" si="7"/>
        <v>0</v>
      </c>
      <c r="H87">
        <f t="shared" si="8"/>
        <v>1</v>
      </c>
      <c r="I87">
        <f t="shared" si="9"/>
        <v>0</v>
      </c>
      <c r="J87">
        <f t="shared" si="10"/>
        <v>1</v>
      </c>
      <c r="K87">
        <f t="shared" si="11"/>
        <v>0</v>
      </c>
    </row>
    <row r="88" spans="1:11">
      <c r="A88" t="s">
        <v>43</v>
      </c>
      <c r="B88" s="2">
        <v>45717</v>
      </c>
      <c r="C88" t="s">
        <v>27</v>
      </c>
      <c r="D88" t="s">
        <v>18</v>
      </c>
      <c r="E88">
        <v>614596.31999999995</v>
      </c>
      <c r="F88">
        <f t="shared" si="6"/>
        <v>0</v>
      </c>
      <c r="G88">
        <f t="shared" si="7"/>
        <v>0</v>
      </c>
      <c r="H88">
        <f t="shared" si="8"/>
        <v>1</v>
      </c>
      <c r="I88">
        <f t="shared" si="9"/>
        <v>0</v>
      </c>
      <c r="J88">
        <f t="shared" si="10"/>
        <v>1</v>
      </c>
      <c r="K88">
        <f t="shared" si="11"/>
        <v>0</v>
      </c>
    </row>
    <row r="89" spans="1:11">
      <c r="A89" t="s">
        <v>43</v>
      </c>
      <c r="B89" s="2">
        <v>45748</v>
      </c>
      <c r="C89" t="s">
        <v>27</v>
      </c>
      <c r="D89" t="s">
        <v>18</v>
      </c>
      <c r="E89">
        <v>450711.92</v>
      </c>
      <c r="F89">
        <f t="shared" si="6"/>
        <v>0</v>
      </c>
      <c r="G89">
        <f t="shared" si="7"/>
        <v>0</v>
      </c>
      <c r="H89">
        <f t="shared" si="8"/>
        <v>1</v>
      </c>
      <c r="I89">
        <f t="shared" si="9"/>
        <v>0</v>
      </c>
      <c r="J89">
        <f t="shared" si="10"/>
        <v>1</v>
      </c>
      <c r="K89">
        <f t="shared" si="11"/>
        <v>0</v>
      </c>
    </row>
    <row r="90" spans="1:11">
      <c r="A90" t="s">
        <v>44</v>
      </c>
      <c r="B90" s="2">
        <v>45658</v>
      </c>
      <c r="C90" t="s">
        <v>24</v>
      </c>
      <c r="D90" t="s">
        <v>28</v>
      </c>
      <c r="E90">
        <v>711213.46</v>
      </c>
      <c r="F90">
        <f t="shared" si="6"/>
        <v>0</v>
      </c>
      <c r="G90">
        <f t="shared" si="7"/>
        <v>1</v>
      </c>
      <c r="H90">
        <f t="shared" si="8"/>
        <v>0</v>
      </c>
      <c r="I90">
        <f t="shared" si="9"/>
        <v>0</v>
      </c>
      <c r="J90">
        <f t="shared" si="10"/>
        <v>0</v>
      </c>
      <c r="K90">
        <f t="shared" si="11"/>
        <v>1</v>
      </c>
    </row>
    <row r="91" spans="1:11">
      <c r="A91" t="s">
        <v>44</v>
      </c>
      <c r="B91" s="2">
        <v>45689</v>
      </c>
      <c r="C91" t="s">
        <v>24</v>
      </c>
      <c r="D91" t="s">
        <v>28</v>
      </c>
      <c r="E91">
        <v>627171.9</v>
      </c>
      <c r="F91">
        <f t="shared" si="6"/>
        <v>0</v>
      </c>
      <c r="G91">
        <f t="shared" si="7"/>
        <v>1</v>
      </c>
      <c r="H91">
        <f t="shared" si="8"/>
        <v>0</v>
      </c>
      <c r="I91">
        <f t="shared" si="9"/>
        <v>0</v>
      </c>
      <c r="J91">
        <f t="shared" si="10"/>
        <v>0</v>
      </c>
      <c r="K91">
        <f t="shared" si="11"/>
        <v>1</v>
      </c>
    </row>
    <row r="92" spans="1:11">
      <c r="A92" t="s">
        <v>44</v>
      </c>
      <c r="B92" s="2">
        <v>45717</v>
      </c>
      <c r="C92" t="s">
        <v>24</v>
      </c>
      <c r="D92" t="s">
        <v>28</v>
      </c>
      <c r="E92">
        <v>739852.58</v>
      </c>
      <c r="F92">
        <f t="shared" si="6"/>
        <v>0</v>
      </c>
      <c r="G92">
        <f t="shared" si="7"/>
        <v>1</v>
      </c>
      <c r="H92">
        <f t="shared" si="8"/>
        <v>0</v>
      </c>
      <c r="I92">
        <f t="shared" si="9"/>
        <v>0</v>
      </c>
      <c r="J92">
        <f t="shared" si="10"/>
        <v>0</v>
      </c>
      <c r="K92">
        <f t="shared" si="11"/>
        <v>1</v>
      </c>
    </row>
    <row r="93" spans="1:11">
      <c r="A93" t="s">
        <v>44</v>
      </c>
      <c r="B93" s="2">
        <v>45748</v>
      </c>
      <c r="C93" t="s">
        <v>24</v>
      </c>
      <c r="D93" t="s">
        <v>28</v>
      </c>
      <c r="E93">
        <v>586307.22</v>
      </c>
      <c r="F93">
        <f t="shared" si="6"/>
        <v>0</v>
      </c>
      <c r="G93">
        <f t="shared" si="7"/>
        <v>1</v>
      </c>
      <c r="H93">
        <f t="shared" si="8"/>
        <v>0</v>
      </c>
      <c r="I93">
        <f t="shared" si="9"/>
        <v>0</v>
      </c>
      <c r="J93">
        <f t="shared" si="10"/>
        <v>0</v>
      </c>
      <c r="K93">
        <f t="shared" si="11"/>
        <v>1</v>
      </c>
    </row>
    <row r="94" spans="1:11">
      <c r="A94" t="s">
        <v>45</v>
      </c>
      <c r="B94" s="2">
        <v>45658</v>
      </c>
      <c r="C94" t="s">
        <v>27</v>
      </c>
      <c r="D94" t="s">
        <v>16</v>
      </c>
      <c r="E94">
        <v>585937.48</v>
      </c>
      <c r="F94">
        <f t="shared" si="6"/>
        <v>0</v>
      </c>
      <c r="G94">
        <f t="shared" si="7"/>
        <v>0</v>
      </c>
      <c r="H94">
        <f t="shared" si="8"/>
        <v>1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>
      <c r="A95" t="s">
        <v>45</v>
      </c>
      <c r="B95" s="2">
        <v>45689</v>
      </c>
      <c r="C95" t="s">
        <v>27</v>
      </c>
      <c r="D95" t="s">
        <v>16</v>
      </c>
      <c r="E95">
        <v>753473.55</v>
      </c>
      <c r="F95">
        <f t="shared" si="6"/>
        <v>0</v>
      </c>
      <c r="G95">
        <f t="shared" si="7"/>
        <v>0</v>
      </c>
      <c r="H95">
        <f t="shared" si="8"/>
        <v>1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>
      <c r="A96" t="s">
        <v>45</v>
      </c>
      <c r="B96" s="2">
        <v>45717</v>
      </c>
      <c r="C96" t="s">
        <v>27</v>
      </c>
      <c r="D96" t="s">
        <v>16</v>
      </c>
      <c r="E96">
        <v>838250.32</v>
      </c>
      <c r="F96">
        <f t="shared" si="6"/>
        <v>0</v>
      </c>
      <c r="G96">
        <f t="shared" si="7"/>
        <v>0</v>
      </c>
      <c r="H96">
        <f t="shared" si="8"/>
        <v>1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>
      <c r="A97" t="s">
        <v>45</v>
      </c>
      <c r="B97" s="2">
        <v>45748</v>
      </c>
      <c r="C97" t="s">
        <v>27</v>
      </c>
      <c r="D97" t="s">
        <v>16</v>
      </c>
      <c r="E97">
        <v>607898.12</v>
      </c>
      <c r="F97">
        <f t="shared" si="6"/>
        <v>0</v>
      </c>
      <c r="G97">
        <f t="shared" si="7"/>
        <v>0</v>
      </c>
      <c r="H97">
        <f t="shared" si="8"/>
        <v>1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>
      <c r="A98" t="s">
        <v>46</v>
      </c>
      <c r="B98" s="2">
        <v>45658</v>
      </c>
      <c r="C98" t="s">
        <v>27</v>
      </c>
      <c r="D98" t="s">
        <v>28</v>
      </c>
      <c r="E98">
        <v>691113.62</v>
      </c>
      <c r="F98">
        <f t="shared" si="6"/>
        <v>0</v>
      </c>
      <c r="G98">
        <f t="shared" si="7"/>
        <v>0</v>
      </c>
      <c r="H98">
        <f t="shared" si="8"/>
        <v>1</v>
      </c>
      <c r="I98">
        <f t="shared" si="9"/>
        <v>0</v>
      </c>
      <c r="J98">
        <f t="shared" si="10"/>
        <v>0</v>
      </c>
      <c r="K98">
        <f t="shared" si="11"/>
        <v>1</v>
      </c>
    </row>
    <row r="99" spans="1:11">
      <c r="A99" t="s">
        <v>46</v>
      </c>
      <c r="B99" s="2">
        <v>45689</v>
      </c>
      <c r="C99" t="s">
        <v>27</v>
      </c>
      <c r="D99" t="s">
        <v>28</v>
      </c>
      <c r="E99">
        <v>735509.4</v>
      </c>
      <c r="F99">
        <f t="shared" si="6"/>
        <v>0</v>
      </c>
      <c r="G99">
        <f t="shared" si="7"/>
        <v>0</v>
      </c>
      <c r="H99">
        <f t="shared" si="8"/>
        <v>1</v>
      </c>
      <c r="I99">
        <f t="shared" si="9"/>
        <v>0</v>
      </c>
      <c r="J99">
        <f t="shared" si="10"/>
        <v>0</v>
      </c>
      <c r="K99">
        <f t="shared" si="11"/>
        <v>1</v>
      </c>
    </row>
    <row r="100" spans="1:11">
      <c r="A100" t="s">
        <v>46</v>
      </c>
      <c r="B100" s="2">
        <v>45717</v>
      </c>
      <c r="C100" t="s">
        <v>27</v>
      </c>
      <c r="D100" t="s">
        <v>28</v>
      </c>
      <c r="E100">
        <v>605775.32999999996</v>
      </c>
      <c r="F100">
        <f t="shared" si="6"/>
        <v>0</v>
      </c>
      <c r="G100">
        <f t="shared" si="7"/>
        <v>0</v>
      </c>
      <c r="H100">
        <f t="shared" si="8"/>
        <v>1</v>
      </c>
      <c r="I100">
        <f t="shared" si="9"/>
        <v>0</v>
      </c>
      <c r="J100">
        <f t="shared" si="10"/>
        <v>0</v>
      </c>
      <c r="K100">
        <f t="shared" si="11"/>
        <v>1</v>
      </c>
    </row>
    <row r="101" spans="1:11">
      <c r="A101" t="s">
        <v>46</v>
      </c>
      <c r="B101" s="2">
        <v>45748</v>
      </c>
      <c r="C101" t="s">
        <v>27</v>
      </c>
      <c r="D101" t="s">
        <v>28</v>
      </c>
      <c r="E101">
        <v>675177.68</v>
      </c>
      <c r="F101">
        <f t="shared" si="6"/>
        <v>0</v>
      </c>
      <c r="G101">
        <f t="shared" si="7"/>
        <v>0</v>
      </c>
      <c r="H101">
        <f t="shared" si="8"/>
        <v>1</v>
      </c>
      <c r="I101">
        <f t="shared" si="9"/>
        <v>0</v>
      </c>
      <c r="J101">
        <f t="shared" si="10"/>
        <v>0</v>
      </c>
      <c r="K101">
        <f t="shared" si="11"/>
        <v>1</v>
      </c>
    </row>
    <row r="102" spans="1:11">
      <c r="A102" t="s">
        <v>47</v>
      </c>
      <c r="B102" s="2">
        <v>45658</v>
      </c>
      <c r="C102" t="s">
        <v>15</v>
      </c>
      <c r="D102" t="s">
        <v>28</v>
      </c>
      <c r="E102">
        <v>635181.35</v>
      </c>
      <c r="F102">
        <f t="shared" si="6"/>
        <v>0</v>
      </c>
      <c r="G102">
        <f t="shared" si="7"/>
        <v>0</v>
      </c>
      <c r="H102">
        <f t="shared" si="8"/>
        <v>0</v>
      </c>
      <c r="I102">
        <f t="shared" si="9"/>
        <v>0</v>
      </c>
      <c r="J102">
        <f t="shared" si="10"/>
        <v>0</v>
      </c>
      <c r="K102">
        <f t="shared" si="11"/>
        <v>1</v>
      </c>
    </row>
    <row r="103" spans="1:11">
      <c r="A103" t="s">
        <v>47</v>
      </c>
      <c r="B103" s="2">
        <v>45689</v>
      </c>
      <c r="C103" t="s">
        <v>15</v>
      </c>
      <c r="D103" t="s">
        <v>28</v>
      </c>
      <c r="E103">
        <v>586626.93999999994</v>
      </c>
      <c r="F103">
        <f t="shared" si="6"/>
        <v>0</v>
      </c>
      <c r="G103">
        <f t="shared" si="7"/>
        <v>0</v>
      </c>
      <c r="H103">
        <f t="shared" si="8"/>
        <v>0</v>
      </c>
      <c r="I103">
        <f t="shared" si="9"/>
        <v>0</v>
      </c>
      <c r="J103">
        <f t="shared" si="10"/>
        <v>0</v>
      </c>
      <c r="K103">
        <f t="shared" si="11"/>
        <v>1</v>
      </c>
    </row>
    <row r="104" spans="1:11">
      <c r="A104" t="s">
        <v>47</v>
      </c>
      <c r="B104" s="2">
        <v>45717</v>
      </c>
      <c r="C104" t="s">
        <v>15</v>
      </c>
      <c r="D104" t="s">
        <v>28</v>
      </c>
      <c r="E104">
        <v>740102.64</v>
      </c>
      <c r="F104">
        <f t="shared" si="6"/>
        <v>0</v>
      </c>
      <c r="G104">
        <f t="shared" si="7"/>
        <v>0</v>
      </c>
      <c r="H104">
        <f t="shared" si="8"/>
        <v>0</v>
      </c>
      <c r="I104">
        <f t="shared" si="9"/>
        <v>0</v>
      </c>
      <c r="J104">
        <f t="shared" si="10"/>
        <v>0</v>
      </c>
      <c r="K104">
        <f t="shared" si="11"/>
        <v>1</v>
      </c>
    </row>
    <row r="105" spans="1:11">
      <c r="A105" t="s">
        <v>47</v>
      </c>
      <c r="B105" s="2">
        <v>45748</v>
      </c>
      <c r="C105" t="s">
        <v>15</v>
      </c>
      <c r="D105" t="s">
        <v>28</v>
      </c>
      <c r="E105">
        <v>625514.04</v>
      </c>
      <c r="F105">
        <f t="shared" si="6"/>
        <v>0</v>
      </c>
      <c r="G105">
        <f t="shared" si="7"/>
        <v>0</v>
      </c>
      <c r="H105">
        <f t="shared" si="8"/>
        <v>0</v>
      </c>
      <c r="I105">
        <f t="shared" si="9"/>
        <v>0</v>
      </c>
      <c r="J105">
        <f t="shared" si="10"/>
        <v>0</v>
      </c>
      <c r="K105">
        <f t="shared" si="11"/>
        <v>1</v>
      </c>
    </row>
    <row r="106" spans="1:11">
      <c r="A106" t="s">
        <v>48</v>
      </c>
      <c r="B106" s="2">
        <v>45658</v>
      </c>
      <c r="C106" t="s">
        <v>27</v>
      </c>
      <c r="D106" t="s">
        <v>18</v>
      </c>
      <c r="E106">
        <v>727227.2</v>
      </c>
      <c r="F106">
        <f t="shared" si="6"/>
        <v>0</v>
      </c>
      <c r="G106">
        <f t="shared" si="7"/>
        <v>0</v>
      </c>
      <c r="H106">
        <f t="shared" si="8"/>
        <v>1</v>
      </c>
      <c r="I106">
        <f t="shared" si="9"/>
        <v>0</v>
      </c>
      <c r="J106">
        <f t="shared" si="10"/>
        <v>1</v>
      </c>
      <c r="K106">
        <f t="shared" si="11"/>
        <v>0</v>
      </c>
    </row>
    <row r="107" spans="1:11">
      <c r="A107" t="s">
        <v>48</v>
      </c>
      <c r="B107" s="2">
        <v>45689</v>
      </c>
      <c r="C107" t="s">
        <v>27</v>
      </c>
      <c r="D107" t="s">
        <v>18</v>
      </c>
      <c r="E107">
        <v>783797.89</v>
      </c>
      <c r="F107">
        <f t="shared" si="6"/>
        <v>0</v>
      </c>
      <c r="G107">
        <f t="shared" si="7"/>
        <v>0</v>
      </c>
      <c r="H107">
        <f t="shared" si="8"/>
        <v>1</v>
      </c>
      <c r="I107">
        <f t="shared" si="9"/>
        <v>0</v>
      </c>
      <c r="J107">
        <f t="shared" si="10"/>
        <v>1</v>
      </c>
      <c r="K107">
        <f t="shared" si="11"/>
        <v>0</v>
      </c>
    </row>
    <row r="108" spans="1:11">
      <c r="A108" t="s">
        <v>48</v>
      </c>
      <c r="B108" s="2">
        <v>45717</v>
      </c>
      <c r="C108" t="s">
        <v>27</v>
      </c>
      <c r="D108" t="s">
        <v>18</v>
      </c>
      <c r="E108">
        <v>795153.84</v>
      </c>
      <c r="F108">
        <f t="shared" si="6"/>
        <v>0</v>
      </c>
      <c r="G108">
        <f t="shared" si="7"/>
        <v>0</v>
      </c>
      <c r="H108">
        <f t="shared" si="8"/>
        <v>1</v>
      </c>
      <c r="I108">
        <f t="shared" si="9"/>
        <v>0</v>
      </c>
      <c r="J108">
        <f t="shared" si="10"/>
        <v>1</v>
      </c>
      <c r="K108">
        <f t="shared" si="11"/>
        <v>0</v>
      </c>
    </row>
    <row r="109" spans="1:11">
      <c r="A109" t="s">
        <v>48</v>
      </c>
      <c r="B109" s="2">
        <v>45748</v>
      </c>
      <c r="C109" t="s">
        <v>27</v>
      </c>
      <c r="D109" t="s">
        <v>18</v>
      </c>
      <c r="E109">
        <v>665594.93999999994</v>
      </c>
      <c r="F109">
        <f t="shared" si="6"/>
        <v>0</v>
      </c>
      <c r="G109">
        <f t="shared" si="7"/>
        <v>0</v>
      </c>
      <c r="H109">
        <f t="shared" si="8"/>
        <v>1</v>
      </c>
      <c r="I109">
        <f t="shared" si="9"/>
        <v>0</v>
      </c>
      <c r="J109">
        <f t="shared" si="10"/>
        <v>1</v>
      </c>
      <c r="K109">
        <f t="shared" si="11"/>
        <v>0</v>
      </c>
    </row>
    <row r="110" spans="1:11">
      <c r="A110" t="s">
        <v>49</v>
      </c>
      <c r="B110" s="2">
        <v>45658</v>
      </c>
      <c r="C110" t="s">
        <v>15</v>
      </c>
      <c r="D110" t="s">
        <v>28</v>
      </c>
      <c r="E110">
        <v>709478.39</v>
      </c>
      <c r="F110">
        <f t="shared" si="6"/>
        <v>0</v>
      </c>
      <c r="G110">
        <f t="shared" si="7"/>
        <v>0</v>
      </c>
      <c r="H110">
        <f t="shared" si="8"/>
        <v>0</v>
      </c>
      <c r="I110">
        <f t="shared" si="9"/>
        <v>0</v>
      </c>
      <c r="J110">
        <f t="shared" si="10"/>
        <v>0</v>
      </c>
      <c r="K110">
        <f t="shared" si="11"/>
        <v>1</v>
      </c>
    </row>
    <row r="111" spans="1:11">
      <c r="A111" t="s">
        <v>49</v>
      </c>
      <c r="B111" s="2">
        <v>45689</v>
      </c>
      <c r="C111" t="s">
        <v>15</v>
      </c>
      <c r="D111" t="s">
        <v>28</v>
      </c>
      <c r="E111">
        <v>664162.49</v>
      </c>
      <c r="F111">
        <f t="shared" si="6"/>
        <v>0</v>
      </c>
      <c r="G111">
        <f t="shared" si="7"/>
        <v>0</v>
      </c>
      <c r="H111">
        <f t="shared" si="8"/>
        <v>0</v>
      </c>
      <c r="I111">
        <f t="shared" si="9"/>
        <v>0</v>
      </c>
      <c r="J111">
        <f t="shared" si="10"/>
        <v>0</v>
      </c>
      <c r="K111">
        <f t="shared" si="11"/>
        <v>1</v>
      </c>
    </row>
    <row r="112" spans="1:11">
      <c r="A112" t="s">
        <v>49</v>
      </c>
      <c r="B112" s="2">
        <v>45717</v>
      </c>
      <c r="C112" t="s">
        <v>15</v>
      </c>
      <c r="D112" t="s">
        <v>28</v>
      </c>
      <c r="E112">
        <v>633494.21</v>
      </c>
      <c r="F112">
        <f t="shared" si="6"/>
        <v>0</v>
      </c>
      <c r="G112">
        <f t="shared" si="7"/>
        <v>0</v>
      </c>
      <c r="H112">
        <f t="shared" si="8"/>
        <v>0</v>
      </c>
      <c r="I112">
        <f t="shared" si="9"/>
        <v>0</v>
      </c>
      <c r="J112">
        <f t="shared" si="10"/>
        <v>0</v>
      </c>
      <c r="K112">
        <f t="shared" si="11"/>
        <v>1</v>
      </c>
    </row>
    <row r="113" spans="1:11">
      <c r="A113" t="s">
        <v>49</v>
      </c>
      <c r="B113" s="2">
        <v>45748</v>
      </c>
      <c r="C113" t="s">
        <v>15</v>
      </c>
      <c r="D113" t="s">
        <v>28</v>
      </c>
      <c r="E113">
        <v>713611.16</v>
      </c>
      <c r="F113">
        <f t="shared" si="6"/>
        <v>0</v>
      </c>
      <c r="G113">
        <f t="shared" si="7"/>
        <v>0</v>
      </c>
      <c r="H113">
        <f t="shared" si="8"/>
        <v>0</v>
      </c>
      <c r="I113">
        <f t="shared" si="9"/>
        <v>0</v>
      </c>
      <c r="J113">
        <f t="shared" si="10"/>
        <v>0</v>
      </c>
      <c r="K113">
        <f t="shared" si="11"/>
        <v>1</v>
      </c>
    </row>
    <row r="114" spans="1:11">
      <c r="A114" t="s">
        <v>50</v>
      </c>
      <c r="B114" s="2">
        <v>45658</v>
      </c>
      <c r="C114" t="s">
        <v>27</v>
      </c>
      <c r="D114" t="s">
        <v>28</v>
      </c>
      <c r="E114">
        <v>778397.97</v>
      </c>
      <c r="F114">
        <f t="shared" si="6"/>
        <v>0</v>
      </c>
      <c r="G114">
        <f t="shared" si="7"/>
        <v>0</v>
      </c>
      <c r="H114">
        <f t="shared" si="8"/>
        <v>1</v>
      </c>
      <c r="I114">
        <f t="shared" si="9"/>
        <v>0</v>
      </c>
      <c r="J114">
        <f t="shared" si="10"/>
        <v>0</v>
      </c>
      <c r="K114">
        <f t="shared" si="11"/>
        <v>1</v>
      </c>
    </row>
    <row r="115" spans="1:11">
      <c r="A115" t="s">
        <v>50</v>
      </c>
      <c r="B115" s="2">
        <v>45689</v>
      </c>
      <c r="C115" t="s">
        <v>27</v>
      </c>
      <c r="D115" t="s">
        <v>28</v>
      </c>
      <c r="E115">
        <v>873380.02</v>
      </c>
      <c r="F115">
        <f t="shared" si="6"/>
        <v>0</v>
      </c>
      <c r="G115">
        <f t="shared" si="7"/>
        <v>0</v>
      </c>
      <c r="H115">
        <f t="shared" si="8"/>
        <v>1</v>
      </c>
      <c r="I115">
        <f t="shared" si="9"/>
        <v>0</v>
      </c>
      <c r="J115">
        <f t="shared" si="10"/>
        <v>0</v>
      </c>
      <c r="K115">
        <f t="shared" si="11"/>
        <v>1</v>
      </c>
    </row>
    <row r="116" spans="1:11">
      <c r="A116" t="s">
        <v>50</v>
      </c>
      <c r="B116" s="2">
        <v>45717</v>
      </c>
      <c r="C116" t="s">
        <v>27</v>
      </c>
      <c r="D116" t="s">
        <v>28</v>
      </c>
      <c r="E116">
        <v>697287.9</v>
      </c>
      <c r="F116">
        <f t="shared" si="6"/>
        <v>0</v>
      </c>
      <c r="G116">
        <f t="shared" si="7"/>
        <v>0</v>
      </c>
      <c r="H116">
        <f t="shared" si="8"/>
        <v>1</v>
      </c>
      <c r="I116">
        <f t="shared" si="9"/>
        <v>0</v>
      </c>
      <c r="J116">
        <f t="shared" si="10"/>
        <v>0</v>
      </c>
      <c r="K116">
        <f t="shared" si="11"/>
        <v>1</v>
      </c>
    </row>
    <row r="117" spans="1:11">
      <c r="A117" t="s">
        <v>50</v>
      </c>
      <c r="B117" s="2">
        <v>45748</v>
      </c>
      <c r="C117" t="s">
        <v>27</v>
      </c>
      <c r="D117" t="s">
        <v>28</v>
      </c>
      <c r="E117">
        <v>718074.79</v>
      </c>
      <c r="F117">
        <f t="shared" si="6"/>
        <v>0</v>
      </c>
      <c r="G117">
        <f t="shared" si="7"/>
        <v>0</v>
      </c>
      <c r="H117">
        <f t="shared" si="8"/>
        <v>1</v>
      </c>
      <c r="I117">
        <f t="shared" si="9"/>
        <v>0</v>
      </c>
      <c r="J117">
        <f t="shared" si="10"/>
        <v>0</v>
      </c>
      <c r="K117">
        <f t="shared" si="11"/>
        <v>1</v>
      </c>
    </row>
    <row r="118" spans="1:11">
      <c r="A118" t="s">
        <v>51</v>
      </c>
      <c r="B118" s="2">
        <v>45658</v>
      </c>
      <c r="C118" t="s">
        <v>27</v>
      </c>
      <c r="D118" t="s">
        <v>16</v>
      </c>
      <c r="E118">
        <v>714942.43</v>
      </c>
      <c r="F118">
        <f t="shared" si="6"/>
        <v>0</v>
      </c>
      <c r="G118">
        <f t="shared" si="7"/>
        <v>0</v>
      </c>
      <c r="H118">
        <f t="shared" si="8"/>
        <v>1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>
      <c r="A119" t="s">
        <v>51</v>
      </c>
      <c r="B119" s="2">
        <v>45689</v>
      </c>
      <c r="C119" t="s">
        <v>27</v>
      </c>
      <c r="D119" t="s">
        <v>16</v>
      </c>
      <c r="E119">
        <v>820519.04</v>
      </c>
      <c r="F119">
        <f t="shared" si="6"/>
        <v>0</v>
      </c>
      <c r="G119">
        <f t="shared" si="7"/>
        <v>0</v>
      </c>
      <c r="H119">
        <f t="shared" si="8"/>
        <v>1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>
      <c r="A120" t="s">
        <v>51</v>
      </c>
      <c r="B120" s="2">
        <v>45717</v>
      </c>
      <c r="C120" t="s">
        <v>27</v>
      </c>
      <c r="D120" t="s">
        <v>16</v>
      </c>
      <c r="E120">
        <v>684217.32</v>
      </c>
      <c r="F120">
        <f t="shared" si="6"/>
        <v>0</v>
      </c>
      <c r="G120">
        <f t="shared" si="7"/>
        <v>0</v>
      </c>
      <c r="H120">
        <f t="shared" si="8"/>
        <v>1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>
      <c r="A121" t="s">
        <v>51</v>
      </c>
      <c r="B121" s="2">
        <v>45748</v>
      </c>
      <c r="C121" t="s">
        <v>27</v>
      </c>
      <c r="D121" t="s">
        <v>16</v>
      </c>
      <c r="E121">
        <v>735480.19</v>
      </c>
      <c r="F121">
        <f t="shared" si="6"/>
        <v>0</v>
      </c>
      <c r="G121">
        <f t="shared" si="7"/>
        <v>0</v>
      </c>
      <c r="H121">
        <f t="shared" si="8"/>
        <v>1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>
      <c r="A122" t="s">
        <v>52</v>
      </c>
      <c r="B122" s="2">
        <v>45658</v>
      </c>
      <c r="C122" t="s">
        <v>20</v>
      </c>
      <c r="D122" t="s">
        <v>18</v>
      </c>
      <c r="E122">
        <v>509484.81</v>
      </c>
      <c r="F122">
        <f t="shared" si="6"/>
        <v>1</v>
      </c>
      <c r="G122">
        <f t="shared" si="7"/>
        <v>0</v>
      </c>
      <c r="H122">
        <f t="shared" si="8"/>
        <v>0</v>
      </c>
      <c r="I122">
        <f t="shared" si="9"/>
        <v>0</v>
      </c>
      <c r="J122">
        <f t="shared" si="10"/>
        <v>1</v>
      </c>
      <c r="K122">
        <f t="shared" si="11"/>
        <v>0</v>
      </c>
    </row>
    <row r="123" spans="1:11">
      <c r="A123" t="s">
        <v>52</v>
      </c>
      <c r="B123" s="2">
        <v>45689</v>
      </c>
      <c r="C123" t="s">
        <v>20</v>
      </c>
      <c r="D123" t="s">
        <v>18</v>
      </c>
      <c r="E123">
        <v>654317.09</v>
      </c>
      <c r="F123">
        <f t="shared" si="6"/>
        <v>1</v>
      </c>
      <c r="G123">
        <f t="shared" si="7"/>
        <v>0</v>
      </c>
      <c r="H123">
        <f t="shared" si="8"/>
        <v>0</v>
      </c>
      <c r="I123">
        <f t="shared" si="9"/>
        <v>0</v>
      </c>
      <c r="J123">
        <f t="shared" si="10"/>
        <v>1</v>
      </c>
      <c r="K123">
        <f t="shared" si="11"/>
        <v>0</v>
      </c>
    </row>
    <row r="124" spans="1:11">
      <c r="A124" t="s">
        <v>52</v>
      </c>
      <c r="B124" s="2">
        <v>45717</v>
      </c>
      <c r="C124" t="s">
        <v>20</v>
      </c>
      <c r="D124" t="s">
        <v>18</v>
      </c>
      <c r="E124">
        <v>557487.26</v>
      </c>
      <c r="F124">
        <f t="shared" si="6"/>
        <v>1</v>
      </c>
      <c r="G124">
        <f t="shared" si="7"/>
        <v>0</v>
      </c>
      <c r="H124">
        <f t="shared" si="8"/>
        <v>0</v>
      </c>
      <c r="I124">
        <f t="shared" si="9"/>
        <v>0</v>
      </c>
      <c r="J124">
        <f t="shared" si="10"/>
        <v>1</v>
      </c>
      <c r="K124">
        <f t="shared" si="11"/>
        <v>0</v>
      </c>
    </row>
    <row r="125" spans="1:11">
      <c r="A125" t="s">
        <v>52</v>
      </c>
      <c r="B125" s="2">
        <v>45748</v>
      </c>
      <c r="C125" t="s">
        <v>20</v>
      </c>
      <c r="D125" t="s">
        <v>18</v>
      </c>
      <c r="E125">
        <v>441275.42</v>
      </c>
      <c r="F125">
        <f t="shared" si="6"/>
        <v>1</v>
      </c>
      <c r="G125">
        <f t="shared" si="7"/>
        <v>0</v>
      </c>
      <c r="H125">
        <f t="shared" si="8"/>
        <v>0</v>
      </c>
      <c r="I125">
        <f t="shared" si="9"/>
        <v>0</v>
      </c>
      <c r="J125">
        <f t="shared" si="10"/>
        <v>1</v>
      </c>
      <c r="K125">
        <f t="shared" si="11"/>
        <v>0</v>
      </c>
    </row>
    <row r="126" spans="1:11">
      <c r="A126" t="s">
        <v>53</v>
      </c>
      <c r="B126" s="2">
        <v>45658</v>
      </c>
      <c r="C126" t="s">
        <v>24</v>
      </c>
      <c r="D126" t="s">
        <v>18</v>
      </c>
      <c r="E126">
        <v>914544.17</v>
      </c>
      <c r="F126">
        <f t="shared" si="6"/>
        <v>0</v>
      </c>
      <c r="G126">
        <f t="shared" si="7"/>
        <v>1</v>
      </c>
      <c r="H126">
        <f t="shared" si="8"/>
        <v>0</v>
      </c>
      <c r="I126">
        <f t="shared" si="9"/>
        <v>0</v>
      </c>
      <c r="J126">
        <f t="shared" si="10"/>
        <v>1</v>
      </c>
      <c r="K126">
        <f t="shared" si="11"/>
        <v>0</v>
      </c>
    </row>
    <row r="127" spans="1:11">
      <c r="A127" t="s">
        <v>53</v>
      </c>
      <c r="B127" s="2">
        <v>45689</v>
      </c>
      <c r="C127" t="s">
        <v>24</v>
      </c>
      <c r="D127" t="s">
        <v>18</v>
      </c>
      <c r="E127">
        <v>842439.67</v>
      </c>
      <c r="F127">
        <f t="shared" si="6"/>
        <v>0</v>
      </c>
      <c r="G127">
        <f t="shared" si="7"/>
        <v>1</v>
      </c>
      <c r="H127">
        <f t="shared" si="8"/>
        <v>0</v>
      </c>
      <c r="I127">
        <f t="shared" si="9"/>
        <v>0</v>
      </c>
      <c r="J127">
        <f t="shared" si="10"/>
        <v>1</v>
      </c>
      <c r="K127">
        <f t="shared" si="11"/>
        <v>0</v>
      </c>
    </row>
    <row r="128" spans="1:11">
      <c r="A128" t="s">
        <v>53</v>
      </c>
      <c r="B128" s="2">
        <v>45717</v>
      </c>
      <c r="C128" t="s">
        <v>24</v>
      </c>
      <c r="D128" t="s">
        <v>18</v>
      </c>
      <c r="E128">
        <v>842157.92</v>
      </c>
      <c r="F128">
        <f t="shared" si="6"/>
        <v>0</v>
      </c>
      <c r="G128">
        <f t="shared" si="7"/>
        <v>1</v>
      </c>
      <c r="H128">
        <f t="shared" si="8"/>
        <v>0</v>
      </c>
      <c r="I128">
        <f t="shared" si="9"/>
        <v>0</v>
      </c>
      <c r="J128">
        <f t="shared" si="10"/>
        <v>1</v>
      </c>
      <c r="K128">
        <f t="shared" si="11"/>
        <v>0</v>
      </c>
    </row>
    <row r="129" spans="1:11">
      <c r="A129" t="s">
        <v>53</v>
      </c>
      <c r="B129" s="2">
        <v>45748</v>
      </c>
      <c r="C129" t="s">
        <v>24</v>
      </c>
      <c r="D129" t="s">
        <v>18</v>
      </c>
      <c r="E129">
        <v>697155.3</v>
      </c>
      <c r="F129">
        <f t="shared" si="6"/>
        <v>0</v>
      </c>
      <c r="G129">
        <f t="shared" si="7"/>
        <v>1</v>
      </c>
      <c r="H129">
        <f t="shared" si="8"/>
        <v>0</v>
      </c>
      <c r="I129">
        <f t="shared" si="9"/>
        <v>0</v>
      </c>
      <c r="J129">
        <f t="shared" si="10"/>
        <v>1</v>
      </c>
      <c r="K129">
        <f t="shared" si="11"/>
        <v>0</v>
      </c>
    </row>
    <row r="130" spans="1:11">
      <c r="A130" t="s">
        <v>54</v>
      </c>
      <c r="B130" s="2">
        <v>45658</v>
      </c>
      <c r="C130" t="s">
        <v>15</v>
      </c>
      <c r="D130" t="s">
        <v>18</v>
      </c>
      <c r="E130">
        <v>849018.3</v>
      </c>
      <c r="F130">
        <f t="shared" si="6"/>
        <v>0</v>
      </c>
      <c r="G130">
        <f t="shared" si="7"/>
        <v>0</v>
      </c>
      <c r="H130">
        <f t="shared" si="8"/>
        <v>0</v>
      </c>
      <c r="I130">
        <f t="shared" si="9"/>
        <v>0</v>
      </c>
      <c r="J130">
        <f t="shared" si="10"/>
        <v>1</v>
      </c>
      <c r="K130">
        <f t="shared" si="11"/>
        <v>0</v>
      </c>
    </row>
    <row r="131" spans="1:11">
      <c r="A131" t="s">
        <v>54</v>
      </c>
      <c r="B131" s="2">
        <v>45689</v>
      </c>
      <c r="C131" t="s">
        <v>15</v>
      </c>
      <c r="D131" t="s">
        <v>18</v>
      </c>
      <c r="E131">
        <v>801830.35</v>
      </c>
      <c r="F131">
        <f t="shared" ref="F131:F194" si="12">IF(C131="North",1,0)</f>
        <v>0</v>
      </c>
      <c r="G131">
        <f t="shared" ref="G131:G194" si="13">IF(C131="South",1,0)</f>
        <v>0</v>
      </c>
      <c r="H131">
        <f t="shared" ref="H131:H194" si="14">IF(C131="West",1,0)</f>
        <v>0</v>
      </c>
      <c r="I131">
        <f t="shared" ref="I131:I194" si="15">IF(D131="Airport",1,0)</f>
        <v>0</v>
      </c>
      <c r="J131">
        <f t="shared" ref="J131:J194" si="16">IF(D131="High Street",1,0)</f>
        <v>1</v>
      </c>
      <c r="K131">
        <f t="shared" ref="K131:K194" si="17">IF(D131="Mall",1,0)</f>
        <v>0</v>
      </c>
    </row>
    <row r="132" spans="1:11">
      <c r="A132" t="s">
        <v>54</v>
      </c>
      <c r="B132" s="2">
        <v>45717</v>
      </c>
      <c r="C132" t="s">
        <v>15</v>
      </c>
      <c r="D132" t="s">
        <v>18</v>
      </c>
      <c r="E132">
        <v>725235.28</v>
      </c>
      <c r="F132">
        <f t="shared" si="12"/>
        <v>0</v>
      </c>
      <c r="G132">
        <f t="shared" si="13"/>
        <v>0</v>
      </c>
      <c r="H132">
        <f t="shared" si="14"/>
        <v>0</v>
      </c>
      <c r="I132">
        <f t="shared" si="15"/>
        <v>0</v>
      </c>
      <c r="J132">
        <f t="shared" si="16"/>
        <v>1</v>
      </c>
      <c r="K132">
        <f t="shared" si="17"/>
        <v>0</v>
      </c>
    </row>
    <row r="133" spans="1:11">
      <c r="A133" t="s">
        <v>54</v>
      </c>
      <c r="B133" s="2">
        <v>45748</v>
      </c>
      <c r="C133" t="s">
        <v>15</v>
      </c>
      <c r="D133" t="s">
        <v>18</v>
      </c>
      <c r="E133">
        <v>811452.72</v>
      </c>
      <c r="F133">
        <f t="shared" si="12"/>
        <v>0</v>
      </c>
      <c r="G133">
        <f t="shared" si="13"/>
        <v>0</v>
      </c>
      <c r="H133">
        <f t="shared" si="14"/>
        <v>0</v>
      </c>
      <c r="I133">
        <f t="shared" si="15"/>
        <v>0</v>
      </c>
      <c r="J133">
        <f t="shared" si="16"/>
        <v>1</v>
      </c>
      <c r="K133">
        <f t="shared" si="17"/>
        <v>0</v>
      </c>
    </row>
    <row r="134" spans="1:11">
      <c r="A134" t="s">
        <v>55</v>
      </c>
      <c r="B134" s="2">
        <v>45658</v>
      </c>
      <c r="C134" t="s">
        <v>20</v>
      </c>
      <c r="D134" t="s">
        <v>18</v>
      </c>
      <c r="E134">
        <v>527300.13</v>
      </c>
      <c r="F134">
        <f t="shared" si="12"/>
        <v>1</v>
      </c>
      <c r="G134">
        <f t="shared" si="13"/>
        <v>0</v>
      </c>
      <c r="H134">
        <f t="shared" si="14"/>
        <v>0</v>
      </c>
      <c r="I134">
        <f t="shared" si="15"/>
        <v>0</v>
      </c>
      <c r="J134">
        <f t="shared" si="16"/>
        <v>1</v>
      </c>
      <c r="K134">
        <f t="shared" si="17"/>
        <v>0</v>
      </c>
    </row>
    <row r="135" spans="1:11">
      <c r="A135" t="s">
        <v>55</v>
      </c>
      <c r="B135" s="2">
        <v>45689</v>
      </c>
      <c r="C135" t="s">
        <v>20</v>
      </c>
      <c r="D135" t="s">
        <v>18</v>
      </c>
      <c r="E135">
        <v>400831.65</v>
      </c>
      <c r="F135">
        <f t="shared" si="12"/>
        <v>1</v>
      </c>
      <c r="G135">
        <f t="shared" si="13"/>
        <v>0</v>
      </c>
      <c r="H135">
        <f t="shared" si="14"/>
        <v>0</v>
      </c>
      <c r="I135">
        <f t="shared" si="15"/>
        <v>0</v>
      </c>
      <c r="J135">
        <f t="shared" si="16"/>
        <v>1</v>
      </c>
      <c r="K135">
        <f t="shared" si="17"/>
        <v>0</v>
      </c>
    </row>
    <row r="136" spans="1:11">
      <c r="A136" t="s">
        <v>55</v>
      </c>
      <c r="B136" s="2">
        <v>45717</v>
      </c>
      <c r="C136" t="s">
        <v>20</v>
      </c>
      <c r="D136" t="s">
        <v>18</v>
      </c>
      <c r="E136">
        <v>593247.25</v>
      </c>
      <c r="F136">
        <f t="shared" si="12"/>
        <v>1</v>
      </c>
      <c r="G136">
        <f t="shared" si="13"/>
        <v>0</v>
      </c>
      <c r="H136">
        <f t="shared" si="14"/>
        <v>0</v>
      </c>
      <c r="I136">
        <f t="shared" si="15"/>
        <v>0</v>
      </c>
      <c r="J136">
        <f t="shared" si="16"/>
        <v>1</v>
      </c>
      <c r="K136">
        <f t="shared" si="17"/>
        <v>0</v>
      </c>
    </row>
    <row r="137" spans="1:11">
      <c r="A137" t="s">
        <v>55</v>
      </c>
      <c r="B137" s="2">
        <v>45748</v>
      </c>
      <c r="C137" t="s">
        <v>20</v>
      </c>
      <c r="D137" t="s">
        <v>18</v>
      </c>
      <c r="E137">
        <v>529075.94999999995</v>
      </c>
      <c r="F137">
        <f t="shared" si="12"/>
        <v>1</v>
      </c>
      <c r="G137">
        <f t="shared" si="13"/>
        <v>0</v>
      </c>
      <c r="H137">
        <f t="shared" si="14"/>
        <v>0</v>
      </c>
      <c r="I137">
        <f t="shared" si="15"/>
        <v>0</v>
      </c>
      <c r="J137">
        <f t="shared" si="16"/>
        <v>1</v>
      </c>
      <c r="K137">
        <f t="shared" si="17"/>
        <v>0</v>
      </c>
    </row>
    <row r="138" spans="1:11">
      <c r="A138" t="s">
        <v>56</v>
      </c>
      <c r="B138" s="2">
        <v>45658</v>
      </c>
      <c r="C138" t="s">
        <v>24</v>
      </c>
      <c r="D138" t="s">
        <v>16</v>
      </c>
      <c r="E138">
        <v>633638.03</v>
      </c>
      <c r="F138">
        <f t="shared" si="12"/>
        <v>0</v>
      </c>
      <c r="G138">
        <f t="shared" si="13"/>
        <v>1</v>
      </c>
      <c r="H138">
        <f t="shared" si="14"/>
        <v>0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>
      <c r="A139" t="s">
        <v>56</v>
      </c>
      <c r="B139" s="2">
        <v>45689</v>
      </c>
      <c r="C139" t="s">
        <v>24</v>
      </c>
      <c r="D139" t="s">
        <v>16</v>
      </c>
      <c r="E139">
        <v>743348.84</v>
      </c>
      <c r="F139">
        <f t="shared" si="12"/>
        <v>0</v>
      </c>
      <c r="G139">
        <f t="shared" si="13"/>
        <v>1</v>
      </c>
      <c r="H139">
        <f t="shared" si="14"/>
        <v>0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>
      <c r="A140" t="s">
        <v>56</v>
      </c>
      <c r="B140" s="2">
        <v>45717</v>
      </c>
      <c r="C140" t="s">
        <v>24</v>
      </c>
      <c r="D140" t="s">
        <v>16</v>
      </c>
      <c r="E140">
        <v>758827.64</v>
      </c>
      <c r="F140">
        <f t="shared" si="12"/>
        <v>0</v>
      </c>
      <c r="G140">
        <f t="shared" si="13"/>
        <v>1</v>
      </c>
      <c r="H140">
        <f t="shared" si="14"/>
        <v>0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>
      <c r="A141" t="s">
        <v>56</v>
      </c>
      <c r="B141" s="2">
        <v>45748</v>
      </c>
      <c r="C141" t="s">
        <v>24</v>
      </c>
      <c r="D141" t="s">
        <v>16</v>
      </c>
      <c r="E141">
        <v>646559.71</v>
      </c>
      <c r="F141">
        <f t="shared" si="12"/>
        <v>0</v>
      </c>
      <c r="G141">
        <f t="shared" si="13"/>
        <v>1</v>
      </c>
      <c r="H141">
        <f t="shared" si="14"/>
        <v>0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>
      <c r="A142" t="s">
        <v>57</v>
      </c>
      <c r="B142" s="2">
        <v>45658</v>
      </c>
      <c r="C142" t="s">
        <v>27</v>
      </c>
      <c r="D142" t="s">
        <v>18</v>
      </c>
      <c r="E142">
        <v>715890.53</v>
      </c>
      <c r="F142">
        <f t="shared" si="12"/>
        <v>0</v>
      </c>
      <c r="G142">
        <f t="shared" si="13"/>
        <v>0</v>
      </c>
      <c r="H142">
        <f t="shared" si="14"/>
        <v>1</v>
      </c>
      <c r="I142">
        <f t="shared" si="15"/>
        <v>0</v>
      </c>
      <c r="J142">
        <f t="shared" si="16"/>
        <v>1</v>
      </c>
      <c r="K142">
        <f t="shared" si="17"/>
        <v>0</v>
      </c>
    </row>
    <row r="143" spans="1:11">
      <c r="A143" t="s">
        <v>57</v>
      </c>
      <c r="B143" s="2">
        <v>45689</v>
      </c>
      <c r="C143" t="s">
        <v>27</v>
      </c>
      <c r="D143" t="s">
        <v>18</v>
      </c>
      <c r="E143">
        <v>715097.57</v>
      </c>
      <c r="F143">
        <f t="shared" si="12"/>
        <v>0</v>
      </c>
      <c r="G143">
        <f t="shared" si="13"/>
        <v>0</v>
      </c>
      <c r="H143">
        <f t="shared" si="14"/>
        <v>1</v>
      </c>
      <c r="I143">
        <f t="shared" si="15"/>
        <v>0</v>
      </c>
      <c r="J143">
        <f t="shared" si="16"/>
        <v>1</v>
      </c>
      <c r="K143">
        <f t="shared" si="17"/>
        <v>0</v>
      </c>
    </row>
    <row r="144" spans="1:11">
      <c r="A144" t="s">
        <v>57</v>
      </c>
      <c r="B144" s="2">
        <v>45717</v>
      </c>
      <c r="C144" t="s">
        <v>27</v>
      </c>
      <c r="D144" t="s">
        <v>18</v>
      </c>
      <c r="E144">
        <v>682639.28</v>
      </c>
      <c r="F144">
        <f t="shared" si="12"/>
        <v>0</v>
      </c>
      <c r="G144">
        <f t="shared" si="13"/>
        <v>0</v>
      </c>
      <c r="H144">
        <f t="shared" si="14"/>
        <v>1</v>
      </c>
      <c r="I144">
        <f t="shared" si="15"/>
        <v>0</v>
      </c>
      <c r="J144">
        <f t="shared" si="16"/>
        <v>1</v>
      </c>
      <c r="K144">
        <f t="shared" si="17"/>
        <v>0</v>
      </c>
    </row>
    <row r="145" spans="1:11">
      <c r="A145" t="s">
        <v>57</v>
      </c>
      <c r="B145" s="2">
        <v>45748</v>
      </c>
      <c r="C145" t="s">
        <v>27</v>
      </c>
      <c r="D145" t="s">
        <v>18</v>
      </c>
      <c r="E145">
        <v>695098.51</v>
      </c>
      <c r="F145">
        <f t="shared" si="12"/>
        <v>0</v>
      </c>
      <c r="G145">
        <f t="shared" si="13"/>
        <v>0</v>
      </c>
      <c r="H145">
        <f t="shared" si="14"/>
        <v>1</v>
      </c>
      <c r="I145">
        <f t="shared" si="15"/>
        <v>0</v>
      </c>
      <c r="J145">
        <f t="shared" si="16"/>
        <v>1</v>
      </c>
      <c r="K145">
        <f t="shared" si="17"/>
        <v>0</v>
      </c>
    </row>
    <row r="146" spans="1:11">
      <c r="A146" t="s">
        <v>58</v>
      </c>
      <c r="B146" s="2">
        <v>45658</v>
      </c>
      <c r="C146" t="s">
        <v>20</v>
      </c>
      <c r="D146" t="s">
        <v>16</v>
      </c>
      <c r="E146">
        <v>577732.56999999995</v>
      </c>
      <c r="F146">
        <f t="shared" si="12"/>
        <v>1</v>
      </c>
      <c r="G146">
        <f t="shared" si="13"/>
        <v>0</v>
      </c>
      <c r="H146">
        <f t="shared" si="14"/>
        <v>0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>
      <c r="A147" t="s">
        <v>58</v>
      </c>
      <c r="B147" s="2">
        <v>45689</v>
      </c>
      <c r="C147" t="s">
        <v>20</v>
      </c>
      <c r="D147" t="s">
        <v>16</v>
      </c>
      <c r="E147">
        <v>537058.32999999996</v>
      </c>
      <c r="F147">
        <f t="shared" si="12"/>
        <v>1</v>
      </c>
      <c r="G147">
        <f t="shared" si="13"/>
        <v>0</v>
      </c>
      <c r="H147">
        <f t="shared" si="14"/>
        <v>0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>
      <c r="A148" t="s">
        <v>58</v>
      </c>
      <c r="B148" s="2">
        <v>45717</v>
      </c>
      <c r="C148" t="s">
        <v>20</v>
      </c>
      <c r="D148" t="s">
        <v>16</v>
      </c>
      <c r="E148">
        <v>601568.87</v>
      </c>
      <c r="F148">
        <f t="shared" si="12"/>
        <v>1</v>
      </c>
      <c r="G148">
        <f t="shared" si="13"/>
        <v>0</v>
      </c>
      <c r="H148">
        <f t="shared" si="14"/>
        <v>0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>
      <c r="A149" t="s">
        <v>58</v>
      </c>
      <c r="B149" s="2">
        <v>45748</v>
      </c>
      <c r="C149" t="s">
        <v>20</v>
      </c>
      <c r="D149" t="s">
        <v>16</v>
      </c>
      <c r="E149">
        <v>570964.84</v>
      </c>
      <c r="F149">
        <f t="shared" si="12"/>
        <v>1</v>
      </c>
      <c r="G149">
        <f t="shared" si="13"/>
        <v>0</v>
      </c>
      <c r="H149">
        <f t="shared" si="14"/>
        <v>0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>
      <c r="A150" t="s">
        <v>59</v>
      </c>
      <c r="B150" s="2">
        <v>45658</v>
      </c>
      <c r="C150" t="s">
        <v>24</v>
      </c>
      <c r="D150" t="s">
        <v>28</v>
      </c>
      <c r="E150">
        <v>614024.91</v>
      </c>
      <c r="F150">
        <f t="shared" si="12"/>
        <v>0</v>
      </c>
      <c r="G150">
        <f t="shared" si="13"/>
        <v>1</v>
      </c>
      <c r="H150">
        <f t="shared" si="14"/>
        <v>0</v>
      </c>
      <c r="I150">
        <f t="shared" si="15"/>
        <v>0</v>
      </c>
      <c r="J150">
        <f t="shared" si="16"/>
        <v>0</v>
      </c>
      <c r="K150">
        <f t="shared" si="17"/>
        <v>1</v>
      </c>
    </row>
    <row r="151" spans="1:11">
      <c r="A151" t="s">
        <v>59</v>
      </c>
      <c r="B151" s="2">
        <v>45689</v>
      </c>
      <c r="C151" t="s">
        <v>24</v>
      </c>
      <c r="D151" t="s">
        <v>28</v>
      </c>
      <c r="E151">
        <v>712868.35</v>
      </c>
      <c r="F151">
        <f t="shared" si="12"/>
        <v>0</v>
      </c>
      <c r="G151">
        <f t="shared" si="13"/>
        <v>1</v>
      </c>
      <c r="H151">
        <f t="shared" si="14"/>
        <v>0</v>
      </c>
      <c r="I151">
        <f t="shared" si="15"/>
        <v>0</v>
      </c>
      <c r="J151">
        <f t="shared" si="16"/>
        <v>0</v>
      </c>
      <c r="K151">
        <f t="shared" si="17"/>
        <v>1</v>
      </c>
    </row>
    <row r="152" spans="1:11">
      <c r="A152" t="s">
        <v>59</v>
      </c>
      <c r="B152" s="2">
        <v>45717</v>
      </c>
      <c r="C152" t="s">
        <v>24</v>
      </c>
      <c r="D152" t="s">
        <v>28</v>
      </c>
      <c r="E152">
        <v>696744.15</v>
      </c>
      <c r="F152">
        <f t="shared" si="12"/>
        <v>0</v>
      </c>
      <c r="G152">
        <f t="shared" si="13"/>
        <v>1</v>
      </c>
      <c r="H152">
        <f t="shared" si="14"/>
        <v>0</v>
      </c>
      <c r="I152">
        <f t="shared" si="15"/>
        <v>0</v>
      </c>
      <c r="J152">
        <f t="shared" si="16"/>
        <v>0</v>
      </c>
      <c r="K152">
        <f t="shared" si="17"/>
        <v>1</v>
      </c>
    </row>
    <row r="153" spans="1:11">
      <c r="A153" t="s">
        <v>59</v>
      </c>
      <c r="B153" s="2">
        <v>45748</v>
      </c>
      <c r="C153" t="s">
        <v>24</v>
      </c>
      <c r="D153" t="s">
        <v>28</v>
      </c>
      <c r="E153">
        <v>725847.99</v>
      </c>
      <c r="F153">
        <f t="shared" si="12"/>
        <v>0</v>
      </c>
      <c r="G153">
        <f t="shared" si="13"/>
        <v>1</v>
      </c>
      <c r="H153">
        <f t="shared" si="14"/>
        <v>0</v>
      </c>
      <c r="I153">
        <f t="shared" si="15"/>
        <v>0</v>
      </c>
      <c r="J153">
        <f t="shared" si="16"/>
        <v>0</v>
      </c>
      <c r="K153">
        <f t="shared" si="17"/>
        <v>1</v>
      </c>
    </row>
    <row r="154" spans="1:11">
      <c r="A154" t="s">
        <v>60</v>
      </c>
      <c r="B154" s="2">
        <v>45658</v>
      </c>
      <c r="C154" t="s">
        <v>15</v>
      </c>
      <c r="D154" t="s">
        <v>18</v>
      </c>
      <c r="E154">
        <v>785028.25</v>
      </c>
      <c r="F154">
        <f t="shared" si="12"/>
        <v>0</v>
      </c>
      <c r="G154">
        <f t="shared" si="13"/>
        <v>0</v>
      </c>
      <c r="H154">
        <f t="shared" si="14"/>
        <v>0</v>
      </c>
      <c r="I154">
        <f t="shared" si="15"/>
        <v>0</v>
      </c>
      <c r="J154">
        <f t="shared" si="16"/>
        <v>1</v>
      </c>
      <c r="K154">
        <f t="shared" si="17"/>
        <v>0</v>
      </c>
    </row>
    <row r="155" spans="1:11">
      <c r="A155" t="s">
        <v>60</v>
      </c>
      <c r="B155" s="2">
        <v>45689</v>
      </c>
      <c r="C155" t="s">
        <v>15</v>
      </c>
      <c r="D155" t="s">
        <v>18</v>
      </c>
      <c r="E155">
        <v>698492.67</v>
      </c>
      <c r="F155">
        <f t="shared" si="12"/>
        <v>0</v>
      </c>
      <c r="G155">
        <f t="shared" si="13"/>
        <v>0</v>
      </c>
      <c r="H155">
        <f t="shared" si="14"/>
        <v>0</v>
      </c>
      <c r="I155">
        <f t="shared" si="15"/>
        <v>0</v>
      </c>
      <c r="J155">
        <f t="shared" si="16"/>
        <v>1</v>
      </c>
      <c r="K155">
        <f t="shared" si="17"/>
        <v>0</v>
      </c>
    </row>
    <row r="156" spans="1:11">
      <c r="A156" t="s">
        <v>60</v>
      </c>
      <c r="B156" s="2">
        <v>45717</v>
      </c>
      <c r="C156" t="s">
        <v>15</v>
      </c>
      <c r="D156" t="s">
        <v>18</v>
      </c>
      <c r="E156">
        <v>685830.24</v>
      </c>
      <c r="F156">
        <f t="shared" si="12"/>
        <v>0</v>
      </c>
      <c r="G156">
        <f t="shared" si="13"/>
        <v>0</v>
      </c>
      <c r="H156">
        <f t="shared" si="14"/>
        <v>0</v>
      </c>
      <c r="I156">
        <f t="shared" si="15"/>
        <v>0</v>
      </c>
      <c r="J156">
        <f t="shared" si="16"/>
        <v>1</v>
      </c>
      <c r="K156">
        <f t="shared" si="17"/>
        <v>0</v>
      </c>
    </row>
    <row r="157" spans="1:11">
      <c r="A157" t="s">
        <v>60</v>
      </c>
      <c r="B157" s="2">
        <v>45748</v>
      </c>
      <c r="C157" t="s">
        <v>15</v>
      </c>
      <c r="D157" t="s">
        <v>18</v>
      </c>
      <c r="E157">
        <v>702318.94</v>
      </c>
      <c r="F157">
        <f t="shared" si="12"/>
        <v>0</v>
      </c>
      <c r="G157">
        <f t="shared" si="13"/>
        <v>0</v>
      </c>
      <c r="H157">
        <f t="shared" si="14"/>
        <v>0</v>
      </c>
      <c r="I157">
        <f t="shared" si="15"/>
        <v>0</v>
      </c>
      <c r="J157">
        <f t="shared" si="16"/>
        <v>1</v>
      </c>
      <c r="K157">
        <f t="shared" si="17"/>
        <v>0</v>
      </c>
    </row>
    <row r="158" spans="1:11">
      <c r="A158" t="s">
        <v>61</v>
      </c>
      <c r="B158" s="2">
        <v>45658</v>
      </c>
      <c r="C158" t="s">
        <v>20</v>
      </c>
      <c r="D158" t="s">
        <v>28</v>
      </c>
      <c r="E158">
        <v>700078.32</v>
      </c>
      <c r="F158">
        <f t="shared" si="12"/>
        <v>1</v>
      </c>
      <c r="G158">
        <f t="shared" si="13"/>
        <v>0</v>
      </c>
      <c r="H158">
        <f t="shared" si="14"/>
        <v>0</v>
      </c>
      <c r="I158">
        <f t="shared" si="15"/>
        <v>0</v>
      </c>
      <c r="J158">
        <f t="shared" si="16"/>
        <v>0</v>
      </c>
      <c r="K158">
        <f t="shared" si="17"/>
        <v>1</v>
      </c>
    </row>
    <row r="159" spans="1:11">
      <c r="A159" t="s">
        <v>61</v>
      </c>
      <c r="B159" s="2">
        <v>45689</v>
      </c>
      <c r="C159" t="s">
        <v>20</v>
      </c>
      <c r="D159" t="s">
        <v>28</v>
      </c>
      <c r="E159">
        <v>602002.31999999995</v>
      </c>
      <c r="F159">
        <f t="shared" si="12"/>
        <v>1</v>
      </c>
      <c r="G159">
        <f t="shared" si="13"/>
        <v>0</v>
      </c>
      <c r="H159">
        <f t="shared" si="14"/>
        <v>0</v>
      </c>
      <c r="I159">
        <f t="shared" si="15"/>
        <v>0</v>
      </c>
      <c r="J159">
        <f t="shared" si="16"/>
        <v>0</v>
      </c>
      <c r="K159">
        <f t="shared" si="17"/>
        <v>1</v>
      </c>
    </row>
    <row r="160" spans="1:11">
      <c r="A160" t="s">
        <v>61</v>
      </c>
      <c r="B160" s="2">
        <v>45717</v>
      </c>
      <c r="C160" t="s">
        <v>20</v>
      </c>
      <c r="D160" t="s">
        <v>28</v>
      </c>
      <c r="E160">
        <v>724216.07</v>
      </c>
      <c r="F160">
        <f t="shared" si="12"/>
        <v>1</v>
      </c>
      <c r="G160">
        <f t="shared" si="13"/>
        <v>0</v>
      </c>
      <c r="H160">
        <f t="shared" si="14"/>
        <v>0</v>
      </c>
      <c r="I160">
        <f t="shared" si="15"/>
        <v>0</v>
      </c>
      <c r="J160">
        <f t="shared" si="16"/>
        <v>0</v>
      </c>
      <c r="K160">
        <f t="shared" si="17"/>
        <v>1</v>
      </c>
    </row>
    <row r="161" spans="1:11">
      <c r="A161" t="s">
        <v>61</v>
      </c>
      <c r="B161" s="2">
        <v>45748</v>
      </c>
      <c r="C161" t="s">
        <v>20</v>
      </c>
      <c r="D161" t="s">
        <v>28</v>
      </c>
      <c r="E161">
        <v>620973.03</v>
      </c>
      <c r="F161">
        <f t="shared" si="12"/>
        <v>1</v>
      </c>
      <c r="G161">
        <f t="shared" si="13"/>
        <v>0</v>
      </c>
      <c r="H161">
        <f t="shared" si="14"/>
        <v>0</v>
      </c>
      <c r="I161">
        <f t="shared" si="15"/>
        <v>0</v>
      </c>
      <c r="J161">
        <f t="shared" si="16"/>
        <v>0</v>
      </c>
      <c r="K161">
        <f t="shared" si="17"/>
        <v>1</v>
      </c>
    </row>
    <row r="162" spans="1:11">
      <c r="A162" t="s">
        <v>62</v>
      </c>
      <c r="B162" s="2">
        <v>45658</v>
      </c>
      <c r="C162" t="s">
        <v>24</v>
      </c>
      <c r="D162" t="s">
        <v>18</v>
      </c>
      <c r="E162">
        <v>650480.06000000006</v>
      </c>
      <c r="F162">
        <f t="shared" si="12"/>
        <v>0</v>
      </c>
      <c r="G162">
        <f t="shared" si="13"/>
        <v>1</v>
      </c>
      <c r="H162">
        <f t="shared" si="14"/>
        <v>0</v>
      </c>
      <c r="I162">
        <f t="shared" si="15"/>
        <v>0</v>
      </c>
      <c r="J162">
        <f t="shared" si="16"/>
        <v>1</v>
      </c>
      <c r="K162">
        <f t="shared" si="17"/>
        <v>0</v>
      </c>
    </row>
    <row r="163" spans="1:11">
      <c r="A163" t="s">
        <v>62</v>
      </c>
      <c r="B163" s="2">
        <v>45689</v>
      </c>
      <c r="C163" t="s">
        <v>24</v>
      </c>
      <c r="D163" t="s">
        <v>18</v>
      </c>
      <c r="E163">
        <v>778298.88</v>
      </c>
      <c r="F163">
        <f t="shared" si="12"/>
        <v>0</v>
      </c>
      <c r="G163">
        <f t="shared" si="13"/>
        <v>1</v>
      </c>
      <c r="H163">
        <f t="shared" si="14"/>
        <v>0</v>
      </c>
      <c r="I163">
        <f t="shared" si="15"/>
        <v>0</v>
      </c>
      <c r="J163">
        <f t="shared" si="16"/>
        <v>1</v>
      </c>
      <c r="K163">
        <f t="shared" si="17"/>
        <v>0</v>
      </c>
    </row>
    <row r="164" spans="1:11">
      <c r="A164" t="s">
        <v>62</v>
      </c>
      <c r="B164" s="2">
        <v>45717</v>
      </c>
      <c r="C164" t="s">
        <v>24</v>
      </c>
      <c r="D164" t="s">
        <v>18</v>
      </c>
      <c r="E164">
        <v>677096.71</v>
      </c>
      <c r="F164">
        <f t="shared" si="12"/>
        <v>0</v>
      </c>
      <c r="G164">
        <f t="shared" si="13"/>
        <v>1</v>
      </c>
      <c r="H164">
        <f t="shared" si="14"/>
        <v>0</v>
      </c>
      <c r="I164">
        <f t="shared" si="15"/>
        <v>0</v>
      </c>
      <c r="J164">
        <f t="shared" si="16"/>
        <v>1</v>
      </c>
      <c r="K164">
        <f t="shared" si="17"/>
        <v>0</v>
      </c>
    </row>
    <row r="165" spans="1:11">
      <c r="A165" t="s">
        <v>62</v>
      </c>
      <c r="B165" s="2">
        <v>45748</v>
      </c>
      <c r="C165" t="s">
        <v>24</v>
      </c>
      <c r="D165" t="s">
        <v>18</v>
      </c>
      <c r="E165">
        <v>692008.64</v>
      </c>
      <c r="F165">
        <f t="shared" si="12"/>
        <v>0</v>
      </c>
      <c r="G165">
        <f t="shared" si="13"/>
        <v>1</v>
      </c>
      <c r="H165">
        <f t="shared" si="14"/>
        <v>0</v>
      </c>
      <c r="I165">
        <f t="shared" si="15"/>
        <v>0</v>
      </c>
      <c r="J165">
        <f t="shared" si="16"/>
        <v>1</v>
      </c>
      <c r="K165">
        <f t="shared" si="17"/>
        <v>0</v>
      </c>
    </row>
    <row r="166" spans="1:11">
      <c r="A166" t="s">
        <v>63</v>
      </c>
      <c r="B166" s="2">
        <v>45658</v>
      </c>
      <c r="C166" t="s">
        <v>20</v>
      </c>
      <c r="D166" t="s">
        <v>28</v>
      </c>
      <c r="E166">
        <v>825797.91</v>
      </c>
      <c r="F166">
        <f t="shared" si="12"/>
        <v>1</v>
      </c>
      <c r="G166">
        <f t="shared" si="13"/>
        <v>0</v>
      </c>
      <c r="H166">
        <f t="shared" si="14"/>
        <v>0</v>
      </c>
      <c r="I166">
        <f t="shared" si="15"/>
        <v>0</v>
      </c>
      <c r="J166">
        <f t="shared" si="16"/>
        <v>0</v>
      </c>
      <c r="K166">
        <f t="shared" si="17"/>
        <v>1</v>
      </c>
    </row>
    <row r="167" spans="1:11">
      <c r="A167" t="s">
        <v>63</v>
      </c>
      <c r="B167" s="2">
        <v>45689</v>
      </c>
      <c r="C167" t="s">
        <v>20</v>
      </c>
      <c r="D167" t="s">
        <v>28</v>
      </c>
      <c r="E167">
        <v>706285.52</v>
      </c>
      <c r="F167">
        <f t="shared" si="12"/>
        <v>1</v>
      </c>
      <c r="G167">
        <f t="shared" si="13"/>
        <v>0</v>
      </c>
      <c r="H167">
        <f t="shared" si="14"/>
        <v>0</v>
      </c>
      <c r="I167">
        <f t="shared" si="15"/>
        <v>0</v>
      </c>
      <c r="J167">
        <f t="shared" si="16"/>
        <v>0</v>
      </c>
      <c r="K167">
        <f t="shared" si="17"/>
        <v>1</v>
      </c>
    </row>
    <row r="168" spans="1:11">
      <c r="A168" t="s">
        <v>63</v>
      </c>
      <c r="B168" s="2">
        <v>45717</v>
      </c>
      <c r="C168" t="s">
        <v>20</v>
      </c>
      <c r="D168" t="s">
        <v>28</v>
      </c>
      <c r="E168">
        <v>665534.69999999995</v>
      </c>
      <c r="F168">
        <f t="shared" si="12"/>
        <v>1</v>
      </c>
      <c r="G168">
        <f t="shared" si="13"/>
        <v>0</v>
      </c>
      <c r="H168">
        <f t="shared" si="14"/>
        <v>0</v>
      </c>
      <c r="I168">
        <f t="shared" si="15"/>
        <v>0</v>
      </c>
      <c r="J168">
        <f t="shared" si="16"/>
        <v>0</v>
      </c>
      <c r="K168">
        <f t="shared" si="17"/>
        <v>1</v>
      </c>
    </row>
    <row r="169" spans="1:11">
      <c r="A169" t="s">
        <v>63</v>
      </c>
      <c r="B169" s="2">
        <v>45748</v>
      </c>
      <c r="C169" t="s">
        <v>20</v>
      </c>
      <c r="D169" t="s">
        <v>28</v>
      </c>
      <c r="E169">
        <v>820729.29</v>
      </c>
      <c r="F169">
        <f t="shared" si="12"/>
        <v>1</v>
      </c>
      <c r="G169">
        <f t="shared" si="13"/>
        <v>0</v>
      </c>
      <c r="H169">
        <f t="shared" si="14"/>
        <v>0</v>
      </c>
      <c r="I169">
        <f t="shared" si="15"/>
        <v>0</v>
      </c>
      <c r="J169">
        <f t="shared" si="16"/>
        <v>0</v>
      </c>
      <c r="K169">
        <f t="shared" si="17"/>
        <v>1</v>
      </c>
    </row>
    <row r="170" spans="1:11">
      <c r="A170" t="s">
        <v>64</v>
      </c>
      <c r="B170" s="2">
        <v>45658</v>
      </c>
      <c r="C170" t="s">
        <v>15</v>
      </c>
      <c r="D170" t="s">
        <v>16</v>
      </c>
      <c r="E170">
        <v>739831.73</v>
      </c>
      <c r="F170">
        <f t="shared" si="12"/>
        <v>0</v>
      </c>
      <c r="G170">
        <f t="shared" si="13"/>
        <v>0</v>
      </c>
      <c r="H170">
        <f t="shared" si="14"/>
        <v>0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>
      <c r="A171" t="s">
        <v>64</v>
      </c>
      <c r="B171" s="2">
        <v>45689</v>
      </c>
      <c r="C171" t="s">
        <v>15</v>
      </c>
      <c r="D171" t="s">
        <v>16</v>
      </c>
      <c r="E171">
        <v>593637.14</v>
      </c>
      <c r="F171">
        <f t="shared" si="12"/>
        <v>0</v>
      </c>
      <c r="G171">
        <f t="shared" si="13"/>
        <v>0</v>
      </c>
      <c r="H171">
        <f t="shared" si="14"/>
        <v>0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>
      <c r="A172" t="s">
        <v>64</v>
      </c>
      <c r="B172" s="2">
        <v>45717</v>
      </c>
      <c r="C172" t="s">
        <v>15</v>
      </c>
      <c r="D172" t="s">
        <v>16</v>
      </c>
      <c r="E172">
        <v>769702.76</v>
      </c>
      <c r="F172">
        <f t="shared" si="12"/>
        <v>0</v>
      </c>
      <c r="G172">
        <f t="shared" si="13"/>
        <v>0</v>
      </c>
      <c r="H172">
        <f t="shared" si="14"/>
        <v>0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>
      <c r="A173" t="s">
        <v>64</v>
      </c>
      <c r="B173" s="2">
        <v>45748</v>
      </c>
      <c r="C173" t="s">
        <v>15</v>
      </c>
      <c r="D173" t="s">
        <v>16</v>
      </c>
      <c r="E173">
        <v>679731.57</v>
      </c>
      <c r="F173">
        <f t="shared" si="12"/>
        <v>0</v>
      </c>
      <c r="G173">
        <f t="shared" si="13"/>
        <v>0</v>
      </c>
      <c r="H173">
        <f t="shared" si="14"/>
        <v>0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>
      <c r="A174" t="s">
        <v>65</v>
      </c>
      <c r="B174" s="2">
        <v>45658</v>
      </c>
      <c r="C174" t="s">
        <v>15</v>
      </c>
      <c r="D174" t="s">
        <v>16</v>
      </c>
      <c r="E174">
        <v>780344.18</v>
      </c>
      <c r="F174">
        <f t="shared" si="12"/>
        <v>0</v>
      </c>
      <c r="G174">
        <f t="shared" si="13"/>
        <v>0</v>
      </c>
      <c r="H174">
        <f t="shared" si="14"/>
        <v>0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>
      <c r="A175" t="s">
        <v>65</v>
      </c>
      <c r="B175" s="2">
        <v>45689</v>
      </c>
      <c r="C175" t="s">
        <v>15</v>
      </c>
      <c r="D175" t="s">
        <v>16</v>
      </c>
      <c r="E175">
        <v>721364.11</v>
      </c>
      <c r="F175">
        <f t="shared" si="12"/>
        <v>0</v>
      </c>
      <c r="G175">
        <f t="shared" si="13"/>
        <v>0</v>
      </c>
      <c r="H175">
        <f t="shared" si="14"/>
        <v>0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>
      <c r="A176" t="s">
        <v>65</v>
      </c>
      <c r="B176" s="2">
        <v>45717</v>
      </c>
      <c r="C176" t="s">
        <v>15</v>
      </c>
      <c r="D176" t="s">
        <v>16</v>
      </c>
      <c r="E176">
        <v>758138.29</v>
      </c>
      <c r="F176">
        <f t="shared" si="12"/>
        <v>0</v>
      </c>
      <c r="G176">
        <f t="shared" si="13"/>
        <v>0</v>
      </c>
      <c r="H176">
        <f t="shared" si="14"/>
        <v>0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>
      <c r="A177" t="s">
        <v>65</v>
      </c>
      <c r="B177" s="2">
        <v>45748</v>
      </c>
      <c r="C177" t="s">
        <v>15</v>
      </c>
      <c r="D177" t="s">
        <v>16</v>
      </c>
      <c r="E177">
        <v>804264</v>
      </c>
      <c r="F177">
        <f t="shared" si="12"/>
        <v>0</v>
      </c>
      <c r="G177">
        <f t="shared" si="13"/>
        <v>0</v>
      </c>
      <c r="H177">
        <f t="shared" si="14"/>
        <v>0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>
      <c r="A178" t="s">
        <v>66</v>
      </c>
      <c r="B178" s="2">
        <v>45658</v>
      </c>
      <c r="C178" t="s">
        <v>27</v>
      </c>
      <c r="D178" t="s">
        <v>21</v>
      </c>
      <c r="E178">
        <v>887537.75</v>
      </c>
      <c r="F178">
        <f t="shared" si="12"/>
        <v>0</v>
      </c>
      <c r="G178">
        <f t="shared" si="13"/>
        <v>0</v>
      </c>
      <c r="H178">
        <f t="shared" si="14"/>
        <v>1</v>
      </c>
      <c r="I178">
        <f t="shared" si="15"/>
        <v>1</v>
      </c>
      <c r="J178">
        <f t="shared" si="16"/>
        <v>0</v>
      </c>
      <c r="K178">
        <f t="shared" si="17"/>
        <v>0</v>
      </c>
    </row>
    <row r="179" spans="1:11">
      <c r="A179" t="s">
        <v>66</v>
      </c>
      <c r="B179" s="2">
        <v>45689</v>
      </c>
      <c r="C179" t="s">
        <v>27</v>
      </c>
      <c r="D179" t="s">
        <v>21</v>
      </c>
      <c r="E179">
        <v>783582</v>
      </c>
      <c r="F179">
        <f t="shared" si="12"/>
        <v>0</v>
      </c>
      <c r="G179">
        <f t="shared" si="13"/>
        <v>0</v>
      </c>
      <c r="H179">
        <f t="shared" si="14"/>
        <v>1</v>
      </c>
      <c r="I179">
        <f t="shared" si="15"/>
        <v>1</v>
      </c>
      <c r="J179">
        <f t="shared" si="16"/>
        <v>0</v>
      </c>
      <c r="K179">
        <f t="shared" si="17"/>
        <v>0</v>
      </c>
    </row>
    <row r="180" spans="1:11">
      <c r="A180" t="s">
        <v>66</v>
      </c>
      <c r="B180" s="2">
        <v>45717</v>
      </c>
      <c r="C180" t="s">
        <v>27</v>
      </c>
      <c r="D180" t="s">
        <v>21</v>
      </c>
      <c r="E180">
        <v>781955.52</v>
      </c>
      <c r="F180">
        <f t="shared" si="12"/>
        <v>0</v>
      </c>
      <c r="G180">
        <f t="shared" si="13"/>
        <v>0</v>
      </c>
      <c r="H180">
        <f t="shared" si="14"/>
        <v>1</v>
      </c>
      <c r="I180">
        <f t="shared" si="15"/>
        <v>1</v>
      </c>
      <c r="J180">
        <f t="shared" si="16"/>
        <v>0</v>
      </c>
      <c r="K180">
        <f t="shared" si="17"/>
        <v>0</v>
      </c>
    </row>
    <row r="181" spans="1:11">
      <c r="A181" t="s">
        <v>66</v>
      </c>
      <c r="B181" s="2">
        <v>45748</v>
      </c>
      <c r="C181" t="s">
        <v>27</v>
      </c>
      <c r="D181" t="s">
        <v>21</v>
      </c>
      <c r="E181">
        <v>898031.04</v>
      </c>
      <c r="F181">
        <f t="shared" si="12"/>
        <v>0</v>
      </c>
      <c r="G181">
        <f t="shared" si="13"/>
        <v>0</v>
      </c>
      <c r="H181">
        <f t="shared" si="14"/>
        <v>1</v>
      </c>
      <c r="I181">
        <f t="shared" si="15"/>
        <v>1</v>
      </c>
      <c r="J181">
        <f t="shared" si="16"/>
        <v>0</v>
      </c>
      <c r="K181">
        <f t="shared" si="17"/>
        <v>0</v>
      </c>
    </row>
    <row r="182" spans="1:11">
      <c r="A182" t="s">
        <v>67</v>
      </c>
      <c r="B182" s="2">
        <v>45658</v>
      </c>
      <c r="C182" t="s">
        <v>27</v>
      </c>
      <c r="D182" t="s">
        <v>16</v>
      </c>
      <c r="E182">
        <v>855341.28</v>
      </c>
      <c r="F182">
        <f t="shared" si="12"/>
        <v>0</v>
      </c>
      <c r="G182">
        <f t="shared" si="13"/>
        <v>0</v>
      </c>
      <c r="H182">
        <f t="shared" si="14"/>
        <v>1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>
      <c r="A183" t="s">
        <v>67</v>
      </c>
      <c r="B183" s="2">
        <v>45689</v>
      </c>
      <c r="C183" t="s">
        <v>27</v>
      </c>
      <c r="D183" t="s">
        <v>16</v>
      </c>
      <c r="E183">
        <v>751393.88</v>
      </c>
      <c r="F183">
        <f t="shared" si="12"/>
        <v>0</v>
      </c>
      <c r="G183">
        <f t="shared" si="13"/>
        <v>0</v>
      </c>
      <c r="H183">
        <f t="shared" si="14"/>
        <v>1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>
      <c r="A184" t="s">
        <v>67</v>
      </c>
      <c r="B184" s="2">
        <v>45717</v>
      </c>
      <c r="C184" t="s">
        <v>27</v>
      </c>
      <c r="D184" t="s">
        <v>16</v>
      </c>
      <c r="E184">
        <v>761077.08</v>
      </c>
      <c r="F184">
        <f t="shared" si="12"/>
        <v>0</v>
      </c>
      <c r="G184">
        <f t="shared" si="13"/>
        <v>0</v>
      </c>
      <c r="H184">
        <f t="shared" si="14"/>
        <v>1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>
      <c r="A185" t="s">
        <v>67</v>
      </c>
      <c r="B185" s="2">
        <v>45748</v>
      </c>
      <c r="C185" t="s">
        <v>27</v>
      </c>
      <c r="D185" t="s">
        <v>16</v>
      </c>
      <c r="E185">
        <v>819660.59</v>
      </c>
      <c r="F185">
        <f t="shared" si="12"/>
        <v>0</v>
      </c>
      <c r="G185">
        <f t="shared" si="13"/>
        <v>0</v>
      </c>
      <c r="H185">
        <f t="shared" si="14"/>
        <v>1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>
      <c r="A186" t="s">
        <v>68</v>
      </c>
      <c r="B186" s="2">
        <v>45658</v>
      </c>
      <c r="C186" t="s">
        <v>20</v>
      </c>
      <c r="D186" t="s">
        <v>18</v>
      </c>
      <c r="E186">
        <v>681855.56</v>
      </c>
      <c r="F186">
        <f t="shared" si="12"/>
        <v>1</v>
      </c>
      <c r="G186">
        <f t="shared" si="13"/>
        <v>0</v>
      </c>
      <c r="H186">
        <f t="shared" si="14"/>
        <v>0</v>
      </c>
      <c r="I186">
        <f t="shared" si="15"/>
        <v>0</v>
      </c>
      <c r="J186">
        <f t="shared" si="16"/>
        <v>1</v>
      </c>
      <c r="K186">
        <f t="shared" si="17"/>
        <v>0</v>
      </c>
    </row>
    <row r="187" spans="1:11">
      <c r="A187" t="s">
        <v>68</v>
      </c>
      <c r="B187" s="2">
        <v>45689</v>
      </c>
      <c r="C187" t="s">
        <v>20</v>
      </c>
      <c r="D187" t="s">
        <v>18</v>
      </c>
      <c r="E187">
        <v>678311.17</v>
      </c>
      <c r="F187">
        <f t="shared" si="12"/>
        <v>1</v>
      </c>
      <c r="G187">
        <f t="shared" si="13"/>
        <v>0</v>
      </c>
      <c r="H187">
        <f t="shared" si="14"/>
        <v>0</v>
      </c>
      <c r="I187">
        <f t="shared" si="15"/>
        <v>0</v>
      </c>
      <c r="J187">
        <f t="shared" si="16"/>
        <v>1</v>
      </c>
      <c r="K187">
        <f t="shared" si="17"/>
        <v>0</v>
      </c>
    </row>
    <row r="188" spans="1:11">
      <c r="A188" t="s">
        <v>68</v>
      </c>
      <c r="B188" s="2">
        <v>45717</v>
      </c>
      <c r="C188" t="s">
        <v>20</v>
      </c>
      <c r="D188" t="s">
        <v>18</v>
      </c>
      <c r="E188">
        <v>765906.95</v>
      </c>
      <c r="F188">
        <f t="shared" si="12"/>
        <v>1</v>
      </c>
      <c r="G188">
        <f t="shared" si="13"/>
        <v>0</v>
      </c>
      <c r="H188">
        <f t="shared" si="14"/>
        <v>0</v>
      </c>
      <c r="I188">
        <f t="shared" si="15"/>
        <v>0</v>
      </c>
      <c r="J188">
        <f t="shared" si="16"/>
        <v>1</v>
      </c>
      <c r="K188">
        <f t="shared" si="17"/>
        <v>0</v>
      </c>
    </row>
    <row r="189" spans="1:11">
      <c r="A189" t="s">
        <v>68</v>
      </c>
      <c r="B189" s="2">
        <v>45748</v>
      </c>
      <c r="C189" t="s">
        <v>20</v>
      </c>
      <c r="D189" t="s">
        <v>18</v>
      </c>
      <c r="E189">
        <v>712546.38</v>
      </c>
      <c r="F189">
        <f t="shared" si="12"/>
        <v>1</v>
      </c>
      <c r="G189">
        <f t="shared" si="13"/>
        <v>0</v>
      </c>
      <c r="H189">
        <f t="shared" si="14"/>
        <v>0</v>
      </c>
      <c r="I189">
        <f t="shared" si="15"/>
        <v>0</v>
      </c>
      <c r="J189">
        <f t="shared" si="16"/>
        <v>1</v>
      </c>
      <c r="K189">
        <f t="shared" si="17"/>
        <v>0</v>
      </c>
    </row>
    <row r="190" spans="1:11">
      <c r="A190" t="s">
        <v>69</v>
      </c>
      <c r="B190" s="2">
        <v>45658</v>
      </c>
      <c r="C190" t="s">
        <v>15</v>
      </c>
      <c r="D190" t="s">
        <v>18</v>
      </c>
      <c r="E190">
        <v>625993.82999999996</v>
      </c>
      <c r="F190">
        <f t="shared" si="12"/>
        <v>0</v>
      </c>
      <c r="G190">
        <f t="shared" si="13"/>
        <v>0</v>
      </c>
      <c r="H190">
        <f t="shared" si="14"/>
        <v>0</v>
      </c>
      <c r="I190">
        <f t="shared" si="15"/>
        <v>0</v>
      </c>
      <c r="J190">
        <f t="shared" si="16"/>
        <v>1</v>
      </c>
      <c r="K190">
        <f t="shared" si="17"/>
        <v>0</v>
      </c>
    </row>
    <row r="191" spans="1:11">
      <c r="A191" t="s">
        <v>69</v>
      </c>
      <c r="B191" s="2">
        <v>45689</v>
      </c>
      <c r="C191" t="s">
        <v>15</v>
      </c>
      <c r="D191" t="s">
        <v>18</v>
      </c>
      <c r="E191">
        <v>550962.93000000005</v>
      </c>
      <c r="F191">
        <f t="shared" si="12"/>
        <v>0</v>
      </c>
      <c r="G191">
        <f t="shared" si="13"/>
        <v>0</v>
      </c>
      <c r="H191">
        <f t="shared" si="14"/>
        <v>0</v>
      </c>
      <c r="I191">
        <f t="shared" si="15"/>
        <v>0</v>
      </c>
      <c r="J191">
        <f t="shared" si="16"/>
        <v>1</v>
      </c>
      <c r="K191">
        <f t="shared" si="17"/>
        <v>0</v>
      </c>
    </row>
    <row r="192" spans="1:11">
      <c r="A192" t="s">
        <v>69</v>
      </c>
      <c r="B192" s="2">
        <v>45717</v>
      </c>
      <c r="C192" t="s">
        <v>15</v>
      </c>
      <c r="D192" t="s">
        <v>18</v>
      </c>
      <c r="E192">
        <v>443275.59</v>
      </c>
      <c r="F192">
        <f t="shared" si="12"/>
        <v>0</v>
      </c>
      <c r="G192">
        <f t="shared" si="13"/>
        <v>0</v>
      </c>
      <c r="H192">
        <f t="shared" si="14"/>
        <v>0</v>
      </c>
      <c r="I192">
        <f t="shared" si="15"/>
        <v>0</v>
      </c>
      <c r="J192">
        <f t="shared" si="16"/>
        <v>1</v>
      </c>
      <c r="K192">
        <f t="shared" si="17"/>
        <v>0</v>
      </c>
    </row>
    <row r="193" spans="1:11">
      <c r="A193" t="s">
        <v>69</v>
      </c>
      <c r="B193" s="2">
        <v>45748</v>
      </c>
      <c r="C193" t="s">
        <v>15</v>
      </c>
      <c r="D193" t="s">
        <v>18</v>
      </c>
      <c r="E193">
        <v>554012.06999999995</v>
      </c>
      <c r="F193">
        <f t="shared" si="12"/>
        <v>0</v>
      </c>
      <c r="G193">
        <f t="shared" si="13"/>
        <v>0</v>
      </c>
      <c r="H193">
        <f t="shared" si="14"/>
        <v>0</v>
      </c>
      <c r="I193">
        <f t="shared" si="15"/>
        <v>0</v>
      </c>
      <c r="J193">
        <f t="shared" si="16"/>
        <v>1</v>
      </c>
      <c r="K193">
        <f t="shared" si="17"/>
        <v>0</v>
      </c>
    </row>
    <row r="194" spans="1:11">
      <c r="A194" t="s">
        <v>70</v>
      </c>
      <c r="B194" s="2">
        <v>45658</v>
      </c>
      <c r="C194" t="s">
        <v>27</v>
      </c>
      <c r="D194" t="s">
        <v>16</v>
      </c>
      <c r="E194">
        <v>643428.85</v>
      </c>
      <c r="F194">
        <f t="shared" si="12"/>
        <v>0</v>
      </c>
      <c r="G194">
        <f t="shared" si="13"/>
        <v>0</v>
      </c>
      <c r="H194">
        <f t="shared" si="14"/>
        <v>1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>
      <c r="A195" t="s">
        <v>70</v>
      </c>
      <c r="B195" s="2">
        <v>45689</v>
      </c>
      <c r="C195" t="s">
        <v>27</v>
      </c>
      <c r="D195" t="s">
        <v>16</v>
      </c>
      <c r="E195">
        <v>611924.27</v>
      </c>
      <c r="F195">
        <f t="shared" ref="F195:F258" si="18">IF(C195="North",1,0)</f>
        <v>0</v>
      </c>
      <c r="G195">
        <f t="shared" ref="G195:G258" si="19">IF(C195="South",1,0)</f>
        <v>0</v>
      </c>
      <c r="H195">
        <f t="shared" ref="H195:H258" si="20">IF(C195="West",1,0)</f>
        <v>1</v>
      </c>
      <c r="I195">
        <f t="shared" ref="I195:I258" si="21">IF(D195="Airport",1,0)</f>
        <v>0</v>
      </c>
      <c r="J195">
        <f t="shared" ref="J195:J258" si="22">IF(D195="High Street",1,0)</f>
        <v>0</v>
      </c>
      <c r="K195">
        <f t="shared" ref="K195:K258" si="23">IF(D195="Mall",1,0)</f>
        <v>0</v>
      </c>
    </row>
    <row r="196" spans="1:11">
      <c r="A196" t="s">
        <v>70</v>
      </c>
      <c r="B196" s="2">
        <v>45717</v>
      </c>
      <c r="C196" t="s">
        <v>27</v>
      </c>
      <c r="D196" t="s">
        <v>16</v>
      </c>
      <c r="E196">
        <v>559422.02</v>
      </c>
      <c r="F196">
        <f t="shared" si="18"/>
        <v>0</v>
      </c>
      <c r="G196">
        <f t="shared" si="19"/>
        <v>0</v>
      </c>
      <c r="H196">
        <f t="shared" si="20"/>
        <v>1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>
      <c r="A197" t="s">
        <v>70</v>
      </c>
      <c r="B197" s="2">
        <v>45748</v>
      </c>
      <c r="C197" t="s">
        <v>27</v>
      </c>
      <c r="D197" t="s">
        <v>16</v>
      </c>
      <c r="E197">
        <v>449465.06</v>
      </c>
      <c r="F197">
        <f t="shared" si="18"/>
        <v>0</v>
      </c>
      <c r="G197">
        <f t="shared" si="19"/>
        <v>0</v>
      </c>
      <c r="H197">
        <f t="shared" si="20"/>
        <v>1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>
      <c r="A198" t="s">
        <v>71</v>
      </c>
      <c r="B198" s="2">
        <v>45658</v>
      </c>
      <c r="C198" t="s">
        <v>20</v>
      </c>
      <c r="D198" t="s">
        <v>16</v>
      </c>
      <c r="E198">
        <v>691447.43</v>
      </c>
      <c r="F198">
        <f t="shared" si="18"/>
        <v>1</v>
      </c>
      <c r="G198">
        <f t="shared" si="19"/>
        <v>0</v>
      </c>
      <c r="H198">
        <f t="shared" si="20"/>
        <v>0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>
      <c r="A199" t="s">
        <v>71</v>
      </c>
      <c r="B199" s="2">
        <v>45689</v>
      </c>
      <c r="C199" t="s">
        <v>20</v>
      </c>
      <c r="D199" t="s">
        <v>16</v>
      </c>
      <c r="E199">
        <v>574066.61</v>
      </c>
      <c r="F199">
        <f t="shared" si="18"/>
        <v>1</v>
      </c>
      <c r="G199">
        <f t="shared" si="19"/>
        <v>0</v>
      </c>
      <c r="H199">
        <f t="shared" si="20"/>
        <v>0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>
      <c r="A200" t="s">
        <v>71</v>
      </c>
      <c r="B200" s="2">
        <v>45717</v>
      </c>
      <c r="C200" t="s">
        <v>20</v>
      </c>
      <c r="D200" t="s">
        <v>16</v>
      </c>
      <c r="E200">
        <v>578949.84</v>
      </c>
      <c r="F200">
        <f t="shared" si="18"/>
        <v>1</v>
      </c>
      <c r="G200">
        <f t="shared" si="19"/>
        <v>0</v>
      </c>
      <c r="H200">
        <f t="shared" si="20"/>
        <v>0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>
      <c r="A201" t="s">
        <v>71</v>
      </c>
      <c r="B201" s="2">
        <v>45748</v>
      </c>
      <c r="C201" t="s">
        <v>20</v>
      </c>
      <c r="D201" t="s">
        <v>16</v>
      </c>
      <c r="E201">
        <v>735786.64</v>
      </c>
      <c r="F201">
        <f t="shared" si="18"/>
        <v>1</v>
      </c>
      <c r="G201">
        <f t="shared" si="19"/>
        <v>0</v>
      </c>
      <c r="H201">
        <f t="shared" si="20"/>
        <v>0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>
      <c r="A202" t="s">
        <v>72</v>
      </c>
      <c r="B202" s="2">
        <v>45658</v>
      </c>
      <c r="C202" t="s">
        <v>15</v>
      </c>
      <c r="D202" t="s">
        <v>21</v>
      </c>
      <c r="E202">
        <v>598904.9</v>
      </c>
      <c r="F202">
        <f t="shared" si="18"/>
        <v>0</v>
      </c>
      <c r="G202">
        <f t="shared" si="19"/>
        <v>0</v>
      </c>
      <c r="H202">
        <f t="shared" si="20"/>
        <v>0</v>
      </c>
      <c r="I202">
        <f t="shared" si="21"/>
        <v>1</v>
      </c>
      <c r="J202">
        <f t="shared" si="22"/>
        <v>0</v>
      </c>
      <c r="K202">
        <f t="shared" si="23"/>
        <v>0</v>
      </c>
    </row>
    <row r="203" spans="1:11">
      <c r="A203" t="s">
        <v>72</v>
      </c>
      <c r="B203" s="2">
        <v>45689</v>
      </c>
      <c r="C203" t="s">
        <v>15</v>
      </c>
      <c r="D203" t="s">
        <v>21</v>
      </c>
      <c r="E203">
        <v>787715.51</v>
      </c>
      <c r="F203">
        <f t="shared" si="18"/>
        <v>0</v>
      </c>
      <c r="G203">
        <f t="shared" si="19"/>
        <v>0</v>
      </c>
      <c r="H203">
        <f t="shared" si="20"/>
        <v>0</v>
      </c>
      <c r="I203">
        <f t="shared" si="21"/>
        <v>1</v>
      </c>
      <c r="J203">
        <f t="shared" si="22"/>
        <v>0</v>
      </c>
      <c r="K203">
        <f t="shared" si="23"/>
        <v>0</v>
      </c>
    </row>
    <row r="204" spans="1:11">
      <c r="A204" t="s">
        <v>72</v>
      </c>
      <c r="B204" s="2">
        <v>45717</v>
      </c>
      <c r="C204" t="s">
        <v>15</v>
      </c>
      <c r="D204" t="s">
        <v>21</v>
      </c>
      <c r="E204">
        <v>607084.92000000004</v>
      </c>
      <c r="F204">
        <f t="shared" si="18"/>
        <v>0</v>
      </c>
      <c r="G204">
        <f t="shared" si="19"/>
        <v>0</v>
      </c>
      <c r="H204">
        <f t="shared" si="20"/>
        <v>0</v>
      </c>
      <c r="I204">
        <f t="shared" si="21"/>
        <v>1</v>
      </c>
      <c r="J204">
        <f t="shared" si="22"/>
        <v>0</v>
      </c>
      <c r="K204">
        <f t="shared" si="23"/>
        <v>0</v>
      </c>
    </row>
    <row r="205" spans="1:11">
      <c r="A205" t="s">
        <v>72</v>
      </c>
      <c r="B205" s="2">
        <v>45748</v>
      </c>
      <c r="C205" t="s">
        <v>15</v>
      </c>
      <c r="D205" t="s">
        <v>21</v>
      </c>
      <c r="E205">
        <v>650795.49</v>
      </c>
      <c r="F205">
        <f t="shared" si="18"/>
        <v>0</v>
      </c>
      <c r="G205">
        <f t="shared" si="19"/>
        <v>0</v>
      </c>
      <c r="H205">
        <f t="shared" si="20"/>
        <v>0</v>
      </c>
      <c r="I205">
        <f t="shared" si="21"/>
        <v>1</v>
      </c>
      <c r="J205">
        <f t="shared" si="22"/>
        <v>0</v>
      </c>
      <c r="K205">
        <f t="shared" si="23"/>
        <v>0</v>
      </c>
    </row>
    <row r="206" spans="1:11">
      <c r="A206" t="s">
        <v>73</v>
      </c>
      <c r="B206" s="2">
        <v>45658</v>
      </c>
      <c r="C206" t="s">
        <v>15</v>
      </c>
      <c r="D206" t="s">
        <v>28</v>
      </c>
      <c r="E206">
        <v>825060.52</v>
      </c>
      <c r="F206">
        <f t="shared" si="18"/>
        <v>0</v>
      </c>
      <c r="G206">
        <f t="shared" si="19"/>
        <v>0</v>
      </c>
      <c r="H206">
        <f t="shared" si="20"/>
        <v>0</v>
      </c>
      <c r="I206">
        <f t="shared" si="21"/>
        <v>0</v>
      </c>
      <c r="J206">
        <f t="shared" si="22"/>
        <v>0</v>
      </c>
      <c r="K206">
        <f t="shared" si="23"/>
        <v>1</v>
      </c>
    </row>
    <row r="207" spans="1:11">
      <c r="A207" t="s">
        <v>73</v>
      </c>
      <c r="B207" s="2">
        <v>45689</v>
      </c>
      <c r="C207" t="s">
        <v>15</v>
      </c>
      <c r="D207" t="s">
        <v>28</v>
      </c>
      <c r="E207">
        <v>795464.47</v>
      </c>
      <c r="F207">
        <f t="shared" si="18"/>
        <v>0</v>
      </c>
      <c r="G207">
        <f t="shared" si="19"/>
        <v>0</v>
      </c>
      <c r="H207">
        <f t="shared" si="20"/>
        <v>0</v>
      </c>
      <c r="I207">
        <f t="shared" si="21"/>
        <v>0</v>
      </c>
      <c r="J207">
        <f t="shared" si="22"/>
        <v>0</v>
      </c>
      <c r="K207">
        <f t="shared" si="23"/>
        <v>1</v>
      </c>
    </row>
    <row r="208" spans="1:11">
      <c r="A208" t="s">
        <v>73</v>
      </c>
      <c r="B208" s="2">
        <v>45717</v>
      </c>
      <c r="C208" t="s">
        <v>15</v>
      </c>
      <c r="D208" t="s">
        <v>28</v>
      </c>
      <c r="E208">
        <v>671868.59</v>
      </c>
      <c r="F208">
        <f t="shared" si="18"/>
        <v>0</v>
      </c>
      <c r="G208">
        <f t="shared" si="19"/>
        <v>0</v>
      </c>
      <c r="H208">
        <f t="shared" si="20"/>
        <v>0</v>
      </c>
      <c r="I208">
        <f t="shared" si="21"/>
        <v>0</v>
      </c>
      <c r="J208">
        <f t="shared" si="22"/>
        <v>0</v>
      </c>
      <c r="K208">
        <f t="shared" si="23"/>
        <v>1</v>
      </c>
    </row>
    <row r="209" spans="1:11">
      <c r="A209" t="s">
        <v>73</v>
      </c>
      <c r="B209" s="2">
        <v>45748</v>
      </c>
      <c r="C209" t="s">
        <v>15</v>
      </c>
      <c r="D209" t="s">
        <v>28</v>
      </c>
      <c r="E209">
        <v>675917.63</v>
      </c>
      <c r="F209">
        <f t="shared" si="18"/>
        <v>0</v>
      </c>
      <c r="G209">
        <f t="shared" si="19"/>
        <v>0</v>
      </c>
      <c r="H209">
        <f t="shared" si="20"/>
        <v>0</v>
      </c>
      <c r="I209">
        <f t="shared" si="21"/>
        <v>0</v>
      </c>
      <c r="J209">
        <f t="shared" si="22"/>
        <v>0</v>
      </c>
      <c r="K209">
        <f t="shared" si="23"/>
        <v>1</v>
      </c>
    </row>
    <row r="210" spans="1:11">
      <c r="A210" t="s">
        <v>74</v>
      </c>
      <c r="B210" s="2">
        <v>45658</v>
      </c>
      <c r="C210" t="s">
        <v>15</v>
      </c>
      <c r="D210" t="s">
        <v>18</v>
      </c>
      <c r="E210">
        <v>810446.53</v>
      </c>
      <c r="F210">
        <f t="shared" si="18"/>
        <v>0</v>
      </c>
      <c r="G210">
        <f t="shared" si="19"/>
        <v>0</v>
      </c>
      <c r="H210">
        <f t="shared" si="20"/>
        <v>0</v>
      </c>
      <c r="I210">
        <f t="shared" si="21"/>
        <v>0</v>
      </c>
      <c r="J210">
        <f t="shared" si="22"/>
        <v>1</v>
      </c>
      <c r="K210">
        <f t="shared" si="23"/>
        <v>0</v>
      </c>
    </row>
    <row r="211" spans="1:11">
      <c r="A211" t="s">
        <v>74</v>
      </c>
      <c r="B211" s="2">
        <v>45689</v>
      </c>
      <c r="C211" t="s">
        <v>15</v>
      </c>
      <c r="D211" t="s">
        <v>18</v>
      </c>
      <c r="E211">
        <v>691288.19</v>
      </c>
      <c r="F211">
        <f t="shared" si="18"/>
        <v>0</v>
      </c>
      <c r="G211">
        <f t="shared" si="19"/>
        <v>0</v>
      </c>
      <c r="H211">
        <f t="shared" si="20"/>
        <v>0</v>
      </c>
      <c r="I211">
        <f t="shared" si="21"/>
        <v>0</v>
      </c>
      <c r="J211">
        <f t="shared" si="22"/>
        <v>1</v>
      </c>
      <c r="K211">
        <f t="shared" si="23"/>
        <v>0</v>
      </c>
    </row>
    <row r="212" spans="1:11">
      <c r="A212" t="s">
        <v>74</v>
      </c>
      <c r="B212" s="2">
        <v>45717</v>
      </c>
      <c r="C212" t="s">
        <v>15</v>
      </c>
      <c r="D212" t="s">
        <v>18</v>
      </c>
      <c r="E212">
        <v>946833.54</v>
      </c>
      <c r="F212">
        <f t="shared" si="18"/>
        <v>0</v>
      </c>
      <c r="G212">
        <f t="shared" si="19"/>
        <v>0</v>
      </c>
      <c r="H212">
        <f t="shared" si="20"/>
        <v>0</v>
      </c>
      <c r="I212">
        <f t="shared" si="21"/>
        <v>0</v>
      </c>
      <c r="J212">
        <f t="shared" si="22"/>
        <v>1</v>
      </c>
      <c r="K212">
        <f t="shared" si="23"/>
        <v>0</v>
      </c>
    </row>
    <row r="213" spans="1:11">
      <c r="A213" t="s">
        <v>74</v>
      </c>
      <c r="B213" s="2">
        <v>45748</v>
      </c>
      <c r="C213" t="s">
        <v>15</v>
      </c>
      <c r="D213" t="s">
        <v>18</v>
      </c>
      <c r="E213">
        <v>761963.23</v>
      </c>
      <c r="F213">
        <f t="shared" si="18"/>
        <v>0</v>
      </c>
      <c r="G213">
        <f t="shared" si="19"/>
        <v>0</v>
      </c>
      <c r="H213">
        <f t="shared" si="20"/>
        <v>0</v>
      </c>
      <c r="I213">
        <f t="shared" si="21"/>
        <v>0</v>
      </c>
      <c r="J213">
        <f t="shared" si="22"/>
        <v>1</v>
      </c>
      <c r="K213">
        <f t="shared" si="23"/>
        <v>0</v>
      </c>
    </row>
    <row r="214" spans="1:11">
      <c r="A214" t="s">
        <v>75</v>
      </c>
      <c r="B214" s="2">
        <v>45658</v>
      </c>
      <c r="C214" t="s">
        <v>27</v>
      </c>
      <c r="D214" t="s">
        <v>16</v>
      </c>
      <c r="E214">
        <v>812152.6</v>
      </c>
      <c r="F214">
        <f t="shared" si="18"/>
        <v>0</v>
      </c>
      <c r="G214">
        <f t="shared" si="19"/>
        <v>0</v>
      </c>
      <c r="H214">
        <f t="shared" si="20"/>
        <v>1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>
      <c r="A215" t="s">
        <v>75</v>
      </c>
      <c r="B215" s="2">
        <v>45689</v>
      </c>
      <c r="C215" t="s">
        <v>27</v>
      </c>
      <c r="D215" t="s">
        <v>16</v>
      </c>
      <c r="E215">
        <v>804975.5</v>
      </c>
      <c r="F215">
        <f t="shared" si="18"/>
        <v>0</v>
      </c>
      <c r="G215">
        <f t="shared" si="19"/>
        <v>0</v>
      </c>
      <c r="H215">
        <f t="shared" si="20"/>
        <v>1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>
      <c r="A216" t="s">
        <v>75</v>
      </c>
      <c r="B216" s="2">
        <v>45717</v>
      </c>
      <c r="C216" t="s">
        <v>27</v>
      </c>
      <c r="D216" t="s">
        <v>16</v>
      </c>
      <c r="E216">
        <v>752321.72</v>
      </c>
      <c r="F216">
        <f t="shared" si="18"/>
        <v>0</v>
      </c>
      <c r="G216">
        <f t="shared" si="19"/>
        <v>0</v>
      </c>
      <c r="H216">
        <f t="shared" si="20"/>
        <v>1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>
      <c r="A217" t="s">
        <v>75</v>
      </c>
      <c r="B217" s="2">
        <v>45748</v>
      </c>
      <c r="C217" t="s">
        <v>27</v>
      </c>
      <c r="D217" t="s">
        <v>16</v>
      </c>
      <c r="E217">
        <v>836908.24</v>
      </c>
      <c r="F217">
        <f t="shared" si="18"/>
        <v>0</v>
      </c>
      <c r="G217">
        <f t="shared" si="19"/>
        <v>0</v>
      </c>
      <c r="H217">
        <f t="shared" si="20"/>
        <v>1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>
      <c r="A218" t="s">
        <v>76</v>
      </c>
      <c r="B218" s="2">
        <v>45658</v>
      </c>
      <c r="C218" t="s">
        <v>20</v>
      </c>
      <c r="D218" t="s">
        <v>21</v>
      </c>
      <c r="E218">
        <v>674289.1</v>
      </c>
      <c r="F218">
        <f t="shared" si="18"/>
        <v>1</v>
      </c>
      <c r="G218">
        <f t="shared" si="19"/>
        <v>0</v>
      </c>
      <c r="H218">
        <f t="shared" si="20"/>
        <v>0</v>
      </c>
      <c r="I218">
        <f t="shared" si="21"/>
        <v>1</v>
      </c>
      <c r="J218">
        <f t="shared" si="22"/>
        <v>0</v>
      </c>
      <c r="K218">
        <f t="shared" si="23"/>
        <v>0</v>
      </c>
    </row>
    <row r="219" spans="1:11">
      <c r="A219" t="s">
        <v>76</v>
      </c>
      <c r="B219" s="2">
        <v>45689</v>
      </c>
      <c r="C219" t="s">
        <v>20</v>
      </c>
      <c r="D219" t="s">
        <v>21</v>
      </c>
      <c r="E219">
        <v>622892.42000000004</v>
      </c>
      <c r="F219">
        <f t="shared" si="18"/>
        <v>1</v>
      </c>
      <c r="G219">
        <f t="shared" si="19"/>
        <v>0</v>
      </c>
      <c r="H219">
        <f t="shared" si="20"/>
        <v>0</v>
      </c>
      <c r="I219">
        <f t="shared" si="21"/>
        <v>1</v>
      </c>
      <c r="J219">
        <f t="shared" si="22"/>
        <v>0</v>
      </c>
      <c r="K219">
        <f t="shared" si="23"/>
        <v>0</v>
      </c>
    </row>
    <row r="220" spans="1:11">
      <c r="A220" t="s">
        <v>76</v>
      </c>
      <c r="B220" s="2">
        <v>45717</v>
      </c>
      <c r="C220" t="s">
        <v>20</v>
      </c>
      <c r="D220" t="s">
        <v>21</v>
      </c>
      <c r="E220">
        <v>673348.56</v>
      </c>
      <c r="F220">
        <f t="shared" si="18"/>
        <v>1</v>
      </c>
      <c r="G220">
        <f t="shared" si="19"/>
        <v>0</v>
      </c>
      <c r="H220">
        <f t="shared" si="20"/>
        <v>0</v>
      </c>
      <c r="I220">
        <f t="shared" si="21"/>
        <v>1</v>
      </c>
      <c r="J220">
        <f t="shared" si="22"/>
        <v>0</v>
      </c>
      <c r="K220">
        <f t="shared" si="23"/>
        <v>0</v>
      </c>
    </row>
    <row r="221" spans="1:11">
      <c r="A221" t="s">
        <v>76</v>
      </c>
      <c r="B221" s="2">
        <v>45748</v>
      </c>
      <c r="C221" t="s">
        <v>20</v>
      </c>
      <c r="D221" t="s">
        <v>21</v>
      </c>
      <c r="E221">
        <v>606278.30000000005</v>
      </c>
      <c r="F221">
        <f t="shared" si="18"/>
        <v>1</v>
      </c>
      <c r="G221">
        <f t="shared" si="19"/>
        <v>0</v>
      </c>
      <c r="H221">
        <f t="shared" si="20"/>
        <v>0</v>
      </c>
      <c r="I221">
        <f t="shared" si="21"/>
        <v>1</v>
      </c>
      <c r="J221">
        <f t="shared" si="22"/>
        <v>0</v>
      </c>
      <c r="K221">
        <f t="shared" si="23"/>
        <v>0</v>
      </c>
    </row>
    <row r="222" spans="1:11">
      <c r="A222" t="s">
        <v>77</v>
      </c>
      <c r="B222" s="2">
        <v>45658</v>
      </c>
      <c r="C222" t="s">
        <v>15</v>
      </c>
      <c r="D222" t="s">
        <v>18</v>
      </c>
      <c r="E222">
        <v>712219.81</v>
      </c>
      <c r="F222">
        <f t="shared" si="18"/>
        <v>0</v>
      </c>
      <c r="G222">
        <f t="shared" si="19"/>
        <v>0</v>
      </c>
      <c r="H222">
        <f t="shared" si="20"/>
        <v>0</v>
      </c>
      <c r="I222">
        <f t="shared" si="21"/>
        <v>0</v>
      </c>
      <c r="J222">
        <f t="shared" si="22"/>
        <v>1</v>
      </c>
      <c r="K222">
        <f t="shared" si="23"/>
        <v>0</v>
      </c>
    </row>
    <row r="223" spans="1:11">
      <c r="A223" t="s">
        <v>77</v>
      </c>
      <c r="B223" s="2">
        <v>45689</v>
      </c>
      <c r="C223" t="s">
        <v>15</v>
      </c>
      <c r="D223" t="s">
        <v>18</v>
      </c>
      <c r="E223">
        <v>672670.54</v>
      </c>
      <c r="F223">
        <f t="shared" si="18"/>
        <v>0</v>
      </c>
      <c r="G223">
        <f t="shared" si="19"/>
        <v>0</v>
      </c>
      <c r="H223">
        <f t="shared" si="20"/>
        <v>0</v>
      </c>
      <c r="I223">
        <f t="shared" si="21"/>
        <v>0</v>
      </c>
      <c r="J223">
        <f t="shared" si="22"/>
        <v>1</v>
      </c>
      <c r="K223">
        <f t="shared" si="23"/>
        <v>0</v>
      </c>
    </row>
    <row r="224" spans="1:11">
      <c r="A224" t="s">
        <v>77</v>
      </c>
      <c r="B224" s="2">
        <v>45717</v>
      </c>
      <c r="C224" t="s">
        <v>15</v>
      </c>
      <c r="D224" t="s">
        <v>18</v>
      </c>
      <c r="E224">
        <v>732667.92</v>
      </c>
      <c r="F224">
        <f t="shared" si="18"/>
        <v>0</v>
      </c>
      <c r="G224">
        <f t="shared" si="19"/>
        <v>0</v>
      </c>
      <c r="H224">
        <f t="shared" si="20"/>
        <v>0</v>
      </c>
      <c r="I224">
        <f t="shared" si="21"/>
        <v>0</v>
      </c>
      <c r="J224">
        <f t="shared" si="22"/>
        <v>1</v>
      </c>
      <c r="K224">
        <f t="shared" si="23"/>
        <v>0</v>
      </c>
    </row>
    <row r="225" spans="1:11">
      <c r="A225" t="s">
        <v>77</v>
      </c>
      <c r="B225" s="2">
        <v>45748</v>
      </c>
      <c r="C225" t="s">
        <v>15</v>
      </c>
      <c r="D225" t="s">
        <v>18</v>
      </c>
      <c r="E225">
        <v>723531.4</v>
      </c>
      <c r="F225">
        <f t="shared" si="18"/>
        <v>0</v>
      </c>
      <c r="G225">
        <f t="shared" si="19"/>
        <v>0</v>
      </c>
      <c r="H225">
        <f t="shared" si="20"/>
        <v>0</v>
      </c>
      <c r="I225">
        <f t="shared" si="21"/>
        <v>0</v>
      </c>
      <c r="J225">
        <f t="shared" si="22"/>
        <v>1</v>
      </c>
      <c r="K225">
        <f t="shared" si="23"/>
        <v>0</v>
      </c>
    </row>
    <row r="226" spans="1:11">
      <c r="A226" t="s">
        <v>78</v>
      </c>
      <c r="B226" s="2">
        <v>45658</v>
      </c>
      <c r="C226" t="s">
        <v>15</v>
      </c>
      <c r="D226" t="s">
        <v>28</v>
      </c>
      <c r="E226">
        <v>641564.6</v>
      </c>
      <c r="F226">
        <f t="shared" si="18"/>
        <v>0</v>
      </c>
      <c r="G226">
        <f t="shared" si="19"/>
        <v>0</v>
      </c>
      <c r="H226">
        <f t="shared" si="20"/>
        <v>0</v>
      </c>
      <c r="I226">
        <f t="shared" si="21"/>
        <v>0</v>
      </c>
      <c r="J226">
        <f t="shared" si="22"/>
        <v>0</v>
      </c>
      <c r="K226">
        <f t="shared" si="23"/>
        <v>1</v>
      </c>
    </row>
    <row r="227" spans="1:11">
      <c r="A227" t="s">
        <v>78</v>
      </c>
      <c r="B227" s="2">
        <v>45689</v>
      </c>
      <c r="C227" t="s">
        <v>15</v>
      </c>
      <c r="D227" t="s">
        <v>28</v>
      </c>
      <c r="E227">
        <v>536545.49</v>
      </c>
      <c r="F227">
        <f t="shared" si="18"/>
        <v>0</v>
      </c>
      <c r="G227">
        <f t="shared" si="19"/>
        <v>0</v>
      </c>
      <c r="H227">
        <f t="shared" si="20"/>
        <v>0</v>
      </c>
      <c r="I227">
        <f t="shared" si="21"/>
        <v>0</v>
      </c>
      <c r="J227">
        <f t="shared" si="22"/>
        <v>0</v>
      </c>
      <c r="K227">
        <f t="shared" si="23"/>
        <v>1</v>
      </c>
    </row>
    <row r="228" spans="1:11">
      <c r="A228" t="s">
        <v>78</v>
      </c>
      <c r="B228" s="2">
        <v>45717</v>
      </c>
      <c r="C228" t="s">
        <v>15</v>
      </c>
      <c r="D228" t="s">
        <v>28</v>
      </c>
      <c r="E228">
        <v>527681.56000000006</v>
      </c>
      <c r="F228">
        <f t="shared" si="18"/>
        <v>0</v>
      </c>
      <c r="G228">
        <f t="shared" si="19"/>
        <v>0</v>
      </c>
      <c r="H228">
        <f t="shared" si="20"/>
        <v>0</v>
      </c>
      <c r="I228">
        <f t="shared" si="21"/>
        <v>0</v>
      </c>
      <c r="J228">
        <f t="shared" si="22"/>
        <v>0</v>
      </c>
      <c r="K228">
        <f t="shared" si="23"/>
        <v>1</v>
      </c>
    </row>
    <row r="229" spans="1:11">
      <c r="A229" t="s">
        <v>78</v>
      </c>
      <c r="B229" s="2">
        <v>45748</v>
      </c>
      <c r="C229" t="s">
        <v>15</v>
      </c>
      <c r="D229" t="s">
        <v>28</v>
      </c>
      <c r="E229">
        <v>529598.93999999994</v>
      </c>
      <c r="F229">
        <f t="shared" si="18"/>
        <v>0</v>
      </c>
      <c r="G229">
        <f t="shared" si="19"/>
        <v>0</v>
      </c>
      <c r="H229">
        <f t="shared" si="20"/>
        <v>0</v>
      </c>
      <c r="I229">
        <f t="shared" si="21"/>
        <v>0</v>
      </c>
      <c r="J229">
        <f t="shared" si="22"/>
        <v>0</v>
      </c>
      <c r="K229">
        <f t="shared" si="23"/>
        <v>1</v>
      </c>
    </row>
    <row r="230" spans="1:11">
      <c r="A230" t="s">
        <v>79</v>
      </c>
      <c r="B230" s="2">
        <v>45658</v>
      </c>
      <c r="C230" t="s">
        <v>15</v>
      </c>
      <c r="D230" t="s">
        <v>18</v>
      </c>
      <c r="E230">
        <v>570963.31000000006</v>
      </c>
      <c r="F230">
        <f t="shared" si="18"/>
        <v>0</v>
      </c>
      <c r="G230">
        <f t="shared" si="19"/>
        <v>0</v>
      </c>
      <c r="H230">
        <f t="shared" si="20"/>
        <v>0</v>
      </c>
      <c r="I230">
        <f t="shared" si="21"/>
        <v>0</v>
      </c>
      <c r="J230">
        <f t="shared" si="22"/>
        <v>1</v>
      </c>
      <c r="K230">
        <f t="shared" si="23"/>
        <v>0</v>
      </c>
    </row>
    <row r="231" spans="1:11">
      <c r="A231" t="s">
        <v>79</v>
      </c>
      <c r="B231" s="2">
        <v>45689</v>
      </c>
      <c r="C231" t="s">
        <v>15</v>
      </c>
      <c r="D231" t="s">
        <v>18</v>
      </c>
      <c r="E231">
        <v>870937.4</v>
      </c>
      <c r="F231">
        <f t="shared" si="18"/>
        <v>0</v>
      </c>
      <c r="G231">
        <f t="shared" si="19"/>
        <v>0</v>
      </c>
      <c r="H231">
        <f t="shared" si="20"/>
        <v>0</v>
      </c>
      <c r="I231">
        <f t="shared" si="21"/>
        <v>0</v>
      </c>
      <c r="J231">
        <f t="shared" si="22"/>
        <v>1</v>
      </c>
      <c r="K231">
        <f t="shared" si="23"/>
        <v>0</v>
      </c>
    </row>
    <row r="232" spans="1:11">
      <c r="A232" t="s">
        <v>79</v>
      </c>
      <c r="B232" s="2">
        <v>45717</v>
      </c>
      <c r="C232" t="s">
        <v>15</v>
      </c>
      <c r="D232" t="s">
        <v>18</v>
      </c>
      <c r="E232">
        <v>596969.27</v>
      </c>
      <c r="F232">
        <f t="shared" si="18"/>
        <v>0</v>
      </c>
      <c r="G232">
        <f t="shared" si="19"/>
        <v>0</v>
      </c>
      <c r="H232">
        <f t="shared" si="20"/>
        <v>0</v>
      </c>
      <c r="I232">
        <f t="shared" si="21"/>
        <v>0</v>
      </c>
      <c r="J232">
        <f t="shared" si="22"/>
        <v>1</v>
      </c>
      <c r="K232">
        <f t="shared" si="23"/>
        <v>0</v>
      </c>
    </row>
    <row r="233" spans="1:11">
      <c r="A233" t="s">
        <v>79</v>
      </c>
      <c r="B233" s="2">
        <v>45748</v>
      </c>
      <c r="C233" t="s">
        <v>15</v>
      </c>
      <c r="D233" t="s">
        <v>18</v>
      </c>
      <c r="E233">
        <v>647512.85</v>
      </c>
      <c r="F233">
        <f t="shared" si="18"/>
        <v>0</v>
      </c>
      <c r="G233">
        <f t="shared" si="19"/>
        <v>0</v>
      </c>
      <c r="H233">
        <f t="shared" si="20"/>
        <v>0</v>
      </c>
      <c r="I233">
        <f t="shared" si="21"/>
        <v>0</v>
      </c>
      <c r="J233">
        <f t="shared" si="22"/>
        <v>1</v>
      </c>
      <c r="K233">
        <f t="shared" si="23"/>
        <v>0</v>
      </c>
    </row>
    <row r="234" spans="1:11">
      <c r="A234" t="s">
        <v>80</v>
      </c>
      <c r="B234" s="2">
        <v>45658</v>
      </c>
      <c r="C234" t="s">
        <v>27</v>
      </c>
      <c r="D234" t="s">
        <v>16</v>
      </c>
      <c r="E234">
        <v>658072.14</v>
      </c>
      <c r="F234">
        <f t="shared" si="18"/>
        <v>0</v>
      </c>
      <c r="G234">
        <f t="shared" si="19"/>
        <v>0</v>
      </c>
      <c r="H234">
        <f t="shared" si="20"/>
        <v>1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>
      <c r="A235" t="s">
        <v>80</v>
      </c>
      <c r="B235" s="2">
        <v>45689</v>
      </c>
      <c r="C235" t="s">
        <v>27</v>
      </c>
      <c r="D235" t="s">
        <v>16</v>
      </c>
      <c r="E235">
        <v>723305.11</v>
      </c>
      <c r="F235">
        <f t="shared" si="18"/>
        <v>0</v>
      </c>
      <c r="G235">
        <f t="shared" si="19"/>
        <v>0</v>
      </c>
      <c r="H235">
        <f t="shared" si="20"/>
        <v>1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>
      <c r="A236" t="s">
        <v>80</v>
      </c>
      <c r="B236" s="2">
        <v>45717</v>
      </c>
      <c r="C236" t="s">
        <v>27</v>
      </c>
      <c r="D236" t="s">
        <v>16</v>
      </c>
      <c r="E236">
        <v>640666.53</v>
      </c>
      <c r="F236">
        <f t="shared" si="18"/>
        <v>0</v>
      </c>
      <c r="G236">
        <f t="shared" si="19"/>
        <v>0</v>
      </c>
      <c r="H236">
        <f t="shared" si="20"/>
        <v>1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>
      <c r="A237" t="s">
        <v>80</v>
      </c>
      <c r="B237" s="2">
        <v>45748</v>
      </c>
      <c r="C237" t="s">
        <v>27</v>
      </c>
      <c r="D237" t="s">
        <v>16</v>
      </c>
      <c r="E237">
        <v>670629.48</v>
      </c>
      <c r="F237">
        <f t="shared" si="18"/>
        <v>0</v>
      </c>
      <c r="G237">
        <f t="shared" si="19"/>
        <v>0</v>
      </c>
      <c r="H237">
        <f t="shared" si="20"/>
        <v>1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>
      <c r="A238" t="s">
        <v>81</v>
      </c>
      <c r="B238" s="2">
        <v>45658</v>
      </c>
      <c r="C238" t="s">
        <v>27</v>
      </c>
      <c r="D238" t="s">
        <v>28</v>
      </c>
      <c r="E238">
        <v>721079.35</v>
      </c>
      <c r="F238">
        <f t="shared" si="18"/>
        <v>0</v>
      </c>
      <c r="G238">
        <f t="shared" si="19"/>
        <v>0</v>
      </c>
      <c r="H238">
        <f t="shared" si="20"/>
        <v>1</v>
      </c>
      <c r="I238">
        <f t="shared" si="21"/>
        <v>0</v>
      </c>
      <c r="J238">
        <f t="shared" si="22"/>
        <v>0</v>
      </c>
      <c r="K238">
        <f t="shared" si="23"/>
        <v>1</v>
      </c>
    </row>
    <row r="239" spans="1:11">
      <c r="A239" t="s">
        <v>81</v>
      </c>
      <c r="B239" s="2">
        <v>45689</v>
      </c>
      <c r="C239" t="s">
        <v>27</v>
      </c>
      <c r="D239" t="s">
        <v>28</v>
      </c>
      <c r="E239">
        <v>810355.02</v>
      </c>
      <c r="F239">
        <f t="shared" si="18"/>
        <v>0</v>
      </c>
      <c r="G239">
        <f t="shared" si="19"/>
        <v>0</v>
      </c>
      <c r="H239">
        <f t="shared" si="20"/>
        <v>1</v>
      </c>
      <c r="I239">
        <f t="shared" si="21"/>
        <v>0</v>
      </c>
      <c r="J239">
        <f t="shared" si="22"/>
        <v>0</v>
      </c>
      <c r="K239">
        <f t="shared" si="23"/>
        <v>1</v>
      </c>
    </row>
    <row r="240" spans="1:11">
      <c r="A240" t="s">
        <v>81</v>
      </c>
      <c r="B240" s="2">
        <v>45717</v>
      </c>
      <c r="C240" t="s">
        <v>27</v>
      </c>
      <c r="D240" t="s">
        <v>28</v>
      </c>
      <c r="E240">
        <v>761919.25</v>
      </c>
      <c r="F240">
        <f t="shared" si="18"/>
        <v>0</v>
      </c>
      <c r="G240">
        <f t="shared" si="19"/>
        <v>0</v>
      </c>
      <c r="H240">
        <f t="shared" si="20"/>
        <v>1</v>
      </c>
      <c r="I240">
        <f t="shared" si="21"/>
        <v>0</v>
      </c>
      <c r="J240">
        <f t="shared" si="22"/>
        <v>0</v>
      </c>
      <c r="K240">
        <f t="shared" si="23"/>
        <v>1</v>
      </c>
    </row>
    <row r="241" spans="1:11">
      <c r="A241" t="s">
        <v>81</v>
      </c>
      <c r="B241" s="2">
        <v>45748</v>
      </c>
      <c r="C241" t="s">
        <v>27</v>
      </c>
      <c r="D241" t="s">
        <v>28</v>
      </c>
      <c r="E241">
        <v>737070.18</v>
      </c>
      <c r="F241">
        <f t="shared" si="18"/>
        <v>0</v>
      </c>
      <c r="G241">
        <f t="shared" si="19"/>
        <v>0</v>
      </c>
      <c r="H241">
        <f t="shared" si="20"/>
        <v>1</v>
      </c>
      <c r="I241">
        <f t="shared" si="21"/>
        <v>0</v>
      </c>
      <c r="J241">
        <f t="shared" si="22"/>
        <v>0</v>
      </c>
      <c r="K241">
        <f t="shared" si="23"/>
        <v>1</v>
      </c>
    </row>
    <row r="242" spans="1:11">
      <c r="A242" t="s">
        <v>82</v>
      </c>
      <c r="B242" s="2">
        <v>45658</v>
      </c>
      <c r="C242" t="s">
        <v>24</v>
      </c>
      <c r="D242" t="s">
        <v>21</v>
      </c>
      <c r="E242">
        <v>776992.93</v>
      </c>
      <c r="F242">
        <f t="shared" si="18"/>
        <v>0</v>
      </c>
      <c r="G242">
        <f t="shared" si="19"/>
        <v>1</v>
      </c>
      <c r="H242">
        <f t="shared" si="20"/>
        <v>0</v>
      </c>
      <c r="I242">
        <f t="shared" si="21"/>
        <v>1</v>
      </c>
      <c r="J242">
        <f t="shared" si="22"/>
        <v>0</v>
      </c>
      <c r="K242">
        <f t="shared" si="23"/>
        <v>0</v>
      </c>
    </row>
    <row r="243" spans="1:11">
      <c r="A243" t="s">
        <v>82</v>
      </c>
      <c r="B243" s="2">
        <v>45689</v>
      </c>
      <c r="C243" t="s">
        <v>24</v>
      </c>
      <c r="D243" t="s">
        <v>21</v>
      </c>
      <c r="E243">
        <v>676337.41</v>
      </c>
      <c r="F243">
        <f t="shared" si="18"/>
        <v>0</v>
      </c>
      <c r="G243">
        <f t="shared" si="19"/>
        <v>1</v>
      </c>
      <c r="H243">
        <f t="shared" si="20"/>
        <v>0</v>
      </c>
      <c r="I243">
        <f t="shared" si="21"/>
        <v>1</v>
      </c>
      <c r="J243">
        <f t="shared" si="22"/>
        <v>0</v>
      </c>
      <c r="K243">
        <f t="shared" si="23"/>
        <v>0</v>
      </c>
    </row>
    <row r="244" spans="1:11">
      <c r="A244" t="s">
        <v>82</v>
      </c>
      <c r="B244" s="2">
        <v>45717</v>
      </c>
      <c r="C244" t="s">
        <v>24</v>
      </c>
      <c r="D244" t="s">
        <v>21</v>
      </c>
      <c r="E244">
        <v>828219.67</v>
      </c>
      <c r="F244">
        <f t="shared" si="18"/>
        <v>0</v>
      </c>
      <c r="G244">
        <f t="shared" si="19"/>
        <v>1</v>
      </c>
      <c r="H244">
        <f t="shared" si="20"/>
        <v>0</v>
      </c>
      <c r="I244">
        <f t="shared" si="21"/>
        <v>1</v>
      </c>
      <c r="J244">
        <f t="shared" si="22"/>
        <v>0</v>
      </c>
      <c r="K244">
        <f t="shared" si="23"/>
        <v>0</v>
      </c>
    </row>
    <row r="245" spans="1:11">
      <c r="A245" t="s">
        <v>82</v>
      </c>
      <c r="B245" s="2">
        <v>45748</v>
      </c>
      <c r="C245" t="s">
        <v>24</v>
      </c>
      <c r="D245" t="s">
        <v>21</v>
      </c>
      <c r="E245">
        <v>763159.92</v>
      </c>
      <c r="F245">
        <f t="shared" si="18"/>
        <v>0</v>
      </c>
      <c r="G245">
        <f t="shared" si="19"/>
        <v>1</v>
      </c>
      <c r="H245">
        <f t="shared" si="20"/>
        <v>0</v>
      </c>
      <c r="I245">
        <f t="shared" si="21"/>
        <v>1</v>
      </c>
      <c r="J245">
        <f t="shared" si="22"/>
        <v>0</v>
      </c>
      <c r="K245">
        <f t="shared" si="23"/>
        <v>0</v>
      </c>
    </row>
    <row r="246" spans="1:11">
      <c r="A246" t="s">
        <v>83</v>
      </c>
      <c r="B246" s="2">
        <v>45658</v>
      </c>
      <c r="C246" t="s">
        <v>15</v>
      </c>
      <c r="D246" t="s">
        <v>18</v>
      </c>
      <c r="E246">
        <v>802001.68</v>
      </c>
      <c r="F246">
        <f t="shared" si="18"/>
        <v>0</v>
      </c>
      <c r="G246">
        <f t="shared" si="19"/>
        <v>0</v>
      </c>
      <c r="H246">
        <f t="shared" si="20"/>
        <v>0</v>
      </c>
      <c r="I246">
        <f t="shared" si="21"/>
        <v>0</v>
      </c>
      <c r="J246">
        <f t="shared" si="22"/>
        <v>1</v>
      </c>
      <c r="K246">
        <f t="shared" si="23"/>
        <v>0</v>
      </c>
    </row>
    <row r="247" spans="1:11">
      <c r="A247" t="s">
        <v>83</v>
      </c>
      <c r="B247" s="2">
        <v>45689</v>
      </c>
      <c r="C247" t="s">
        <v>15</v>
      </c>
      <c r="D247" t="s">
        <v>18</v>
      </c>
      <c r="E247">
        <v>750471.34</v>
      </c>
      <c r="F247">
        <f t="shared" si="18"/>
        <v>0</v>
      </c>
      <c r="G247">
        <f t="shared" si="19"/>
        <v>0</v>
      </c>
      <c r="H247">
        <f t="shared" si="20"/>
        <v>0</v>
      </c>
      <c r="I247">
        <f t="shared" si="21"/>
        <v>0</v>
      </c>
      <c r="J247">
        <f t="shared" si="22"/>
        <v>1</v>
      </c>
      <c r="K247">
        <f t="shared" si="23"/>
        <v>0</v>
      </c>
    </row>
    <row r="248" spans="1:11">
      <c r="A248" t="s">
        <v>83</v>
      </c>
      <c r="B248" s="2">
        <v>45717</v>
      </c>
      <c r="C248" t="s">
        <v>15</v>
      </c>
      <c r="D248" t="s">
        <v>18</v>
      </c>
      <c r="E248">
        <v>679230.86</v>
      </c>
      <c r="F248">
        <f t="shared" si="18"/>
        <v>0</v>
      </c>
      <c r="G248">
        <f t="shared" si="19"/>
        <v>0</v>
      </c>
      <c r="H248">
        <f t="shared" si="20"/>
        <v>0</v>
      </c>
      <c r="I248">
        <f t="shared" si="21"/>
        <v>0</v>
      </c>
      <c r="J248">
        <f t="shared" si="22"/>
        <v>1</v>
      </c>
      <c r="K248">
        <f t="shared" si="23"/>
        <v>0</v>
      </c>
    </row>
    <row r="249" spans="1:11">
      <c r="A249" t="s">
        <v>83</v>
      </c>
      <c r="B249" s="2">
        <v>45748</v>
      </c>
      <c r="C249" t="s">
        <v>15</v>
      </c>
      <c r="D249" t="s">
        <v>18</v>
      </c>
      <c r="E249">
        <v>679888.74</v>
      </c>
      <c r="F249">
        <f t="shared" si="18"/>
        <v>0</v>
      </c>
      <c r="G249">
        <f t="shared" si="19"/>
        <v>0</v>
      </c>
      <c r="H249">
        <f t="shared" si="20"/>
        <v>0</v>
      </c>
      <c r="I249">
        <f t="shared" si="21"/>
        <v>0</v>
      </c>
      <c r="J249">
        <f t="shared" si="22"/>
        <v>1</v>
      </c>
      <c r="K249">
        <f t="shared" si="23"/>
        <v>0</v>
      </c>
    </row>
    <row r="250" spans="1:11">
      <c r="A250" t="s">
        <v>84</v>
      </c>
      <c r="B250" s="2">
        <v>45658</v>
      </c>
      <c r="C250" t="s">
        <v>20</v>
      </c>
      <c r="D250" t="s">
        <v>18</v>
      </c>
      <c r="E250">
        <v>606783.67000000004</v>
      </c>
      <c r="F250">
        <f t="shared" si="18"/>
        <v>1</v>
      </c>
      <c r="G250">
        <f t="shared" si="19"/>
        <v>0</v>
      </c>
      <c r="H250">
        <f t="shared" si="20"/>
        <v>0</v>
      </c>
      <c r="I250">
        <f t="shared" si="21"/>
        <v>0</v>
      </c>
      <c r="J250">
        <f t="shared" si="22"/>
        <v>1</v>
      </c>
      <c r="K250">
        <f t="shared" si="23"/>
        <v>0</v>
      </c>
    </row>
    <row r="251" spans="1:11">
      <c r="A251" t="s">
        <v>84</v>
      </c>
      <c r="B251" s="2">
        <v>45689</v>
      </c>
      <c r="C251" t="s">
        <v>20</v>
      </c>
      <c r="D251" t="s">
        <v>18</v>
      </c>
      <c r="E251">
        <v>642751.42000000004</v>
      </c>
      <c r="F251">
        <f t="shared" si="18"/>
        <v>1</v>
      </c>
      <c r="G251">
        <f t="shared" si="19"/>
        <v>0</v>
      </c>
      <c r="H251">
        <f t="shared" si="20"/>
        <v>0</v>
      </c>
      <c r="I251">
        <f t="shared" si="21"/>
        <v>0</v>
      </c>
      <c r="J251">
        <f t="shared" si="22"/>
        <v>1</v>
      </c>
      <c r="K251">
        <f t="shared" si="23"/>
        <v>0</v>
      </c>
    </row>
    <row r="252" spans="1:11">
      <c r="A252" t="s">
        <v>84</v>
      </c>
      <c r="B252" s="2">
        <v>45717</v>
      </c>
      <c r="C252" t="s">
        <v>20</v>
      </c>
      <c r="D252" t="s">
        <v>18</v>
      </c>
      <c r="E252">
        <v>647953.78</v>
      </c>
      <c r="F252">
        <f t="shared" si="18"/>
        <v>1</v>
      </c>
      <c r="G252">
        <f t="shared" si="19"/>
        <v>0</v>
      </c>
      <c r="H252">
        <f t="shared" si="20"/>
        <v>0</v>
      </c>
      <c r="I252">
        <f t="shared" si="21"/>
        <v>0</v>
      </c>
      <c r="J252">
        <f t="shared" si="22"/>
        <v>1</v>
      </c>
      <c r="K252">
        <f t="shared" si="23"/>
        <v>0</v>
      </c>
    </row>
    <row r="253" spans="1:11">
      <c r="A253" t="s">
        <v>84</v>
      </c>
      <c r="B253" s="2">
        <v>45748</v>
      </c>
      <c r="C253" t="s">
        <v>20</v>
      </c>
      <c r="D253" t="s">
        <v>18</v>
      </c>
      <c r="E253">
        <v>729440.45</v>
      </c>
      <c r="F253">
        <f t="shared" si="18"/>
        <v>1</v>
      </c>
      <c r="G253">
        <f t="shared" si="19"/>
        <v>0</v>
      </c>
      <c r="H253">
        <f t="shared" si="20"/>
        <v>0</v>
      </c>
      <c r="I253">
        <f t="shared" si="21"/>
        <v>0</v>
      </c>
      <c r="J253">
        <f t="shared" si="22"/>
        <v>1</v>
      </c>
      <c r="K253">
        <f t="shared" si="23"/>
        <v>0</v>
      </c>
    </row>
    <row r="254" spans="1:11">
      <c r="A254" t="s">
        <v>85</v>
      </c>
      <c r="B254" s="2">
        <v>45658</v>
      </c>
      <c r="C254" t="s">
        <v>24</v>
      </c>
      <c r="D254" t="s">
        <v>21</v>
      </c>
      <c r="E254">
        <v>764949</v>
      </c>
      <c r="F254">
        <f t="shared" si="18"/>
        <v>0</v>
      </c>
      <c r="G254">
        <f t="shared" si="19"/>
        <v>1</v>
      </c>
      <c r="H254">
        <f t="shared" si="20"/>
        <v>0</v>
      </c>
      <c r="I254">
        <f t="shared" si="21"/>
        <v>1</v>
      </c>
      <c r="J254">
        <f t="shared" si="22"/>
        <v>0</v>
      </c>
      <c r="K254">
        <f t="shared" si="23"/>
        <v>0</v>
      </c>
    </row>
    <row r="255" spans="1:11">
      <c r="A255" t="s">
        <v>85</v>
      </c>
      <c r="B255" s="2">
        <v>45689</v>
      </c>
      <c r="C255" t="s">
        <v>24</v>
      </c>
      <c r="D255" t="s">
        <v>21</v>
      </c>
      <c r="E255">
        <v>799046.94</v>
      </c>
      <c r="F255">
        <f t="shared" si="18"/>
        <v>0</v>
      </c>
      <c r="G255">
        <f t="shared" si="19"/>
        <v>1</v>
      </c>
      <c r="H255">
        <f t="shared" si="20"/>
        <v>0</v>
      </c>
      <c r="I255">
        <f t="shared" si="21"/>
        <v>1</v>
      </c>
      <c r="J255">
        <f t="shared" si="22"/>
        <v>0</v>
      </c>
      <c r="K255">
        <f t="shared" si="23"/>
        <v>0</v>
      </c>
    </row>
    <row r="256" spans="1:11">
      <c r="A256" t="s">
        <v>85</v>
      </c>
      <c r="B256" s="2">
        <v>45717</v>
      </c>
      <c r="C256" t="s">
        <v>24</v>
      </c>
      <c r="D256" t="s">
        <v>21</v>
      </c>
      <c r="E256">
        <v>720079.54</v>
      </c>
      <c r="F256">
        <f t="shared" si="18"/>
        <v>0</v>
      </c>
      <c r="G256">
        <f t="shared" si="19"/>
        <v>1</v>
      </c>
      <c r="H256">
        <f t="shared" si="20"/>
        <v>0</v>
      </c>
      <c r="I256">
        <f t="shared" si="21"/>
        <v>1</v>
      </c>
      <c r="J256">
        <f t="shared" si="22"/>
        <v>0</v>
      </c>
      <c r="K256">
        <f t="shared" si="23"/>
        <v>0</v>
      </c>
    </row>
    <row r="257" spans="1:11">
      <c r="A257" t="s">
        <v>85</v>
      </c>
      <c r="B257" s="2">
        <v>45748</v>
      </c>
      <c r="C257" t="s">
        <v>24</v>
      </c>
      <c r="D257" t="s">
        <v>21</v>
      </c>
      <c r="E257">
        <v>612390.14</v>
      </c>
      <c r="F257">
        <f t="shared" si="18"/>
        <v>0</v>
      </c>
      <c r="G257">
        <f t="shared" si="19"/>
        <v>1</v>
      </c>
      <c r="H257">
        <f t="shared" si="20"/>
        <v>0</v>
      </c>
      <c r="I257">
        <f t="shared" si="21"/>
        <v>1</v>
      </c>
      <c r="J257">
        <f t="shared" si="22"/>
        <v>0</v>
      </c>
      <c r="K257">
        <f t="shared" si="23"/>
        <v>0</v>
      </c>
    </row>
    <row r="258" spans="1:11">
      <c r="A258" t="s">
        <v>86</v>
      </c>
      <c r="B258" s="2">
        <v>45658</v>
      </c>
      <c r="C258" t="s">
        <v>24</v>
      </c>
      <c r="D258" t="s">
        <v>28</v>
      </c>
      <c r="E258">
        <v>840108.12</v>
      </c>
      <c r="F258">
        <f t="shared" si="18"/>
        <v>0</v>
      </c>
      <c r="G258">
        <f t="shared" si="19"/>
        <v>1</v>
      </c>
      <c r="H258">
        <f t="shared" si="20"/>
        <v>0</v>
      </c>
      <c r="I258">
        <f t="shared" si="21"/>
        <v>0</v>
      </c>
      <c r="J258">
        <f t="shared" si="22"/>
        <v>0</v>
      </c>
      <c r="K258">
        <f t="shared" si="23"/>
        <v>1</v>
      </c>
    </row>
    <row r="259" spans="1:11">
      <c r="A259" t="s">
        <v>86</v>
      </c>
      <c r="B259" s="2">
        <v>45689</v>
      </c>
      <c r="C259" t="s">
        <v>24</v>
      </c>
      <c r="D259" t="s">
        <v>28</v>
      </c>
      <c r="E259">
        <v>697888.09</v>
      </c>
      <c r="F259">
        <f t="shared" ref="F259:F321" si="24">IF(C259="North",1,0)</f>
        <v>0</v>
      </c>
      <c r="G259">
        <f t="shared" ref="G259:G321" si="25">IF(C259="South",1,0)</f>
        <v>1</v>
      </c>
      <c r="H259">
        <f t="shared" ref="H259:H321" si="26">IF(C259="West",1,0)</f>
        <v>0</v>
      </c>
      <c r="I259">
        <f t="shared" ref="I259:I321" si="27">IF(D259="Airport",1,0)</f>
        <v>0</v>
      </c>
      <c r="J259">
        <f t="shared" ref="J259:J321" si="28">IF(D259="High Street",1,0)</f>
        <v>0</v>
      </c>
      <c r="K259">
        <f t="shared" ref="K259:K321" si="29">IF(D259="Mall",1,0)</f>
        <v>1</v>
      </c>
    </row>
    <row r="260" spans="1:11">
      <c r="A260" t="s">
        <v>86</v>
      </c>
      <c r="B260" s="2">
        <v>45717</v>
      </c>
      <c r="C260" t="s">
        <v>24</v>
      </c>
      <c r="D260" t="s">
        <v>28</v>
      </c>
      <c r="E260">
        <v>746115.59</v>
      </c>
      <c r="F260">
        <f t="shared" si="24"/>
        <v>0</v>
      </c>
      <c r="G260">
        <f t="shared" si="25"/>
        <v>1</v>
      </c>
      <c r="H260">
        <f t="shared" si="26"/>
        <v>0</v>
      </c>
      <c r="I260">
        <f t="shared" si="27"/>
        <v>0</v>
      </c>
      <c r="J260">
        <f t="shared" si="28"/>
        <v>0</v>
      </c>
      <c r="K260">
        <f t="shared" si="29"/>
        <v>1</v>
      </c>
    </row>
    <row r="261" spans="1:11">
      <c r="A261" t="s">
        <v>86</v>
      </c>
      <c r="B261" s="2">
        <v>45748</v>
      </c>
      <c r="C261" t="s">
        <v>24</v>
      </c>
      <c r="D261" t="s">
        <v>28</v>
      </c>
      <c r="E261">
        <v>776110.32</v>
      </c>
      <c r="F261">
        <f t="shared" si="24"/>
        <v>0</v>
      </c>
      <c r="G261">
        <f t="shared" si="25"/>
        <v>1</v>
      </c>
      <c r="H261">
        <f t="shared" si="26"/>
        <v>0</v>
      </c>
      <c r="I261">
        <f t="shared" si="27"/>
        <v>0</v>
      </c>
      <c r="J261">
        <f t="shared" si="28"/>
        <v>0</v>
      </c>
      <c r="K261">
        <f t="shared" si="29"/>
        <v>1</v>
      </c>
    </row>
    <row r="262" spans="1:11">
      <c r="A262" t="s">
        <v>87</v>
      </c>
      <c r="B262" s="2">
        <v>45658</v>
      </c>
      <c r="C262" t="s">
        <v>27</v>
      </c>
      <c r="D262" t="s">
        <v>18</v>
      </c>
      <c r="E262">
        <v>528852.62</v>
      </c>
      <c r="F262">
        <f t="shared" si="24"/>
        <v>0</v>
      </c>
      <c r="G262">
        <f t="shared" si="25"/>
        <v>0</v>
      </c>
      <c r="H262">
        <f t="shared" si="26"/>
        <v>1</v>
      </c>
      <c r="I262">
        <f t="shared" si="27"/>
        <v>0</v>
      </c>
      <c r="J262">
        <f t="shared" si="28"/>
        <v>1</v>
      </c>
      <c r="K262">
        <f t="shared" si="29"/>
        <v>0</v>
      </c>
    </row>
    <row r="263" spans="1:11">
      <c r="A263" t="s">
        <v>87</v>
      </c>
      <c r="B263" s="2">
        <v>45689</v>
      </c>
      <c r="C263" t="s">
        <v>27</v>
      </c>
      <c r="D263" t="s">
        <v>18</v>
      </c>
      <c r="E263">
        <v>605751.32999999996</v>
      </c>
      <c r="F263">
        <f t="shared" si="24"/>
        <v>0</v>
      </c>
      <c r="G263">
        <f t="shared" si="25"/>
        <v>0</v>
      </c>
      <c r="H263">
        <f t="shared" si="26"/>
        <v>1</v>
      </c>
      <c r="I263">
        <f t="shared" si="27"/>
        <v>0</v>
      </c>
      <c r="J263">
        <f t="shared" si="28"/>
        <v>1</v>
      </c>
      <c r="K263">
        <f t="shared" si="29"/>
        <v>0</v>
      </c>
    </row>
    <row r="264" spans="1:11">
      <c r="A264" t="s">
        <v>87</v>
      </c>
      <c r="B264" s="2">
        <v>45717</v>
      </c>
      <c r="C264" t="s">
        <v>27</v>
      </c>
      <c r="D264" t="s">
        <v>18</v>
      </c>
      <c r="E264">
        <v>677640.65</v>
      </c>
      <c r="F264">
        <f t="shared" si="24"/>
        <v>0</v>
      </c>
      <c r="G264">
        <f t="shared" si="25"/>
        <v>0</v>
      </c>
      <c r="H264">
        <f t="shared" si="26"/>
        <v>1</v>
      </c>
      <c r="I264">
        <f t="shared" si="27"/>
        <v>0</v>
      </c>
      <c r="J264">
        <f t="shared" si="28"/>
        <v>1</v>
      </c>
      <c r="K264">
        <f t="shared" si="29"/>
        <v>0</v>
      </c>
    </row>
    <row r="265" spans="1:11">
      <c r="A265" t="s">
        <v>87</v>
      </c>
      <c r="B265" s="2">
        <v>45748</v>
      </c>
      <c r="C265" t="s">
        <v>27</v>
      </c>
      <c r="D265" t="s">
        <v>18</v>
      </c>
      <c r="E265">
        <v>636613.23</v>
      </c>
      <c r="F265">
        <f t="shared" si="24"/>
        <v>0</v>
      </c>
      <c r="G265">
        <f t="shared" si="25"/>
        <v>0</v>
      </c>
      <c r="H265">
        <f t="shared" si="26"/>
        <v>1</v>
      </c>
      <c r="I265">
        <f t="shared" si="27"/>
        <v>0</v>
      </c>
      <c r="J265">
        <f t="shared" si="28"/>
        <v>1</v>
      </c>
      <c r="K265">
        <f t="shared" si="29"/>
        <v>0</v>
      </c>
    </row>
    <row r="266" spans="1:11">
      <c r="A266" t="s">
        <v>88</v>
      </c>
      <c r="B266" s="2">
        <v>45658</v>
      </c>
      <c r="C266" t="s">
        <v>15</v>
      </c>
      <c r="D266" t="s">
        <v>18</v>
      </c>
      <c r="E266">
        <v>708985.19</v>
      </c>
      <c r="F266">
        <f t="shared" si="24"/>
        <v>0</v>
      </c>
      <c r="G266">
        <f t="shared" si="25"/>
        <v>0</v>
      </c>
      <c r="H266">
        <f t="shared" si="26"/>
        <v>0</v>
      </c>
      <c r="I266">
        <f t="shared" si="27"/>
        <v>0</v>
      </c>
      <c r="J266">
        <f t="shared" si="28"/>
        <v>1</v>
      </c>
      <c r="K266">
        <f t="shared" si="29"/>
        <v>0</v>
      </c>
    </row>
    <row r="267" spans="1:11">
      <c r="A267" t="s">
        <v>88</v>
      </c>
      <c r="B267" s="2">
        <v>45689</v>
      </c>
      <c r="C267" t="s">
        <v>15</v>
      </c>
      <c r="D267" t="s">
        <v>18</v>
      </c>
      <c r="E267">
        <v>767792.94</v>
      </c>
      <c r="F267">
        <f t="shared" si="24"/>
        <v>0</v>
      </c>
      <c r="G267">
        <f t="shared" si="25"/>
        <v>0</v>
      </c>
      <c r="H267">
        <f t="shared" si="26"/>
        <v>0</v>
      </c>
      <c r="I267">
        <f t="shared" si="27"/>
        <v>0</v>
      </c>
      <c r="J267">
        <f t="shared" si="28"/>
        <v>1</v>
      </c>
      <c r="K267">
        <f t="shared" si="29"/>
        <v>0</v>
      </c>
    </row>
    <row r="268" spans="1:11">
      <c r="A268" t="s">
        <v>88</v>
      </c>
      <c r="B268" s="2">
        <v>45717</v>
      </c>
      <c r="C268" t="s">
        <v>15</v>
      </c>
      <c r="D268" t="s">
        <v>18</v>
      </c>
      <c r="E268">
        <v>745580.51</v>
      </c>
      <c r="F268">
        <f t="shared" si="24"/>
        <v>0</v>
      </c>
      <c r="G268">
        <f t="shared" si="25"/>
        <v>0</v>
      </c>
      <c r="H268">
        <f t="shared" si="26"/>
        <v>0</v>
      </c>
      <c r="I268">
        <f t="shared" si="27"/>
        <v>0</v>
      </c>
      <c r="J268">
        <f t="shared" si="28"/>
        <v>1</v>
      </c>
      <c r="K268">
        <f t="shared" si="29"/>
        <v>0</v>
      </c>
    </row>
    <row r="269" spans="1:11">
      <c r="A269" t="s">
        <v>88</v>
      </c>
      <c r="B269" s="2">
        <v>45748</v>
      </c>
      <c r="C269" t="s">
        <v>15</v>
      </c>
      <c r="D269" t="s">
        <v>18</v>
      </c>
      <c r="E269">
        <v>762328.31</v>
      </c>
      <c r="F269">
        <f t="shared" si="24"/>
        <v>0</v>
      </c>
      <c r="G269">
        <f t="shared" si="25"/>
        <v>0</v>
      </c>
      <c r="H269">
        <f t="shared" si="26"/>
        <v>0</v>
      </c>
      <c r="I269">
        <f t="shared" si="27"/>
        <v>0</v>
      </c>
      <c r="J269">
        <f t="shared" si="28"/>
        <v>1</v>
      </c>
      <c r="K269">
        <f t="shared" si="29"/>
        <v>0</v>
      </c>
    </row>
    <row r="270" spans="1:11">
      <c r="A270" t="s">
        <v>89</v>
      </c>
      <c r="B270" s="2">
        <v>45658</v>
      </c>
      <c r="C270" t="s">
        <v>15</v>
      </c>
      <c r="D270" t="s">
        <v>28</v>
      </c>
      <c r="E270">
        <v>660633.99</v>
      </c>
      <c r="F270">
        <f t="shared" si="24"/>
        <v>0</v>
      </c>
      <c r="G270">
        <f t="shared" si="25"/>
        <v>0</v>
      </c>
      <c r="H270">
        <f t="shared" si="26"/>
        <v>0</v>
      </c>
      <c r="I270">
        <f t="shared" si="27"/>
        <v>0</v>
      </c>
      <c r="J270">
        <f t="shared" si="28"/>
        <v>0</v>
      </c>
      <c r="K270">
        <f t="shared" si="29"/>
        <v>1</v>
      </c>
    </row>
    <row r="271" spans="1:11">
      <c r="A271" t="s">
        <v>89</v>
      </c>
      <c r="B271" s="2">
        <v>45689</v>
      </c>
      <c r="C271" t="s">
        <v>15</v>
      </c>
      <c r="D271" t="s">
        <v>28</v>
      </c>
      <c r="E271">
        <v>739374.56</v>
      </c>
      <c r="F271">
        <f t="shared" si="24"/>
        <v>0</v>
      </c>
      <c r="G271">
        <f t="shared" si="25"/>
        <v>0</v>
      </c>
      <c r="H271">
        <f t="shared" si="26"/>
        <v>0</v>
      </c>
      <c r="I271">
        <f t="shared" si="27"/>
        <v>0</v>
      </c>
      <c r="J271">
        <f t="shared" si="28"/>
        <v>0</v>
      </c>
      <c r="K271">
        <f t="shared" si="29"/>
        <v>1</v>
      </c>
    </row>
    <row r="272" spans="1:11">
      <c r="A272" t="s">
        <v>89</v>
      </c>
      <c r="B272" s="2">
        <v>45717</v>
      </c>
      <c r="C272" t="s">
        <v>15</v>
      </c>
      <c r="D272" t="s">
        <v>28</v>
      </c>
      <c r="E272">
        <v>799756.46</v>
      </c>
      <c r="F272">
        <f t="shared" si="24"/>
        <v>0</v>
      </c>
      <c r="G272">
        <f t="shared" si="25"/>
        <v>0</v>
      </c>
      <c r="H272">
        <f t="shared" si="26"/>
        <v>0</v>
      </c>
      <c r="I272">
        <f t="shared" si="27"/>
        <v>0</v>
      </c>
      <c r="J272">
        <f t="shared" si="28"/>
        <v>0</v>
      </c>
      <c r="K272">
        <f t="shared" si="29"/>
        <v>1</v>
      </c>
    </row>
    <row r="273" spans="1:11">
      <c r="A273" t="s">
        <v>89</v>
      </c>
      <c r="B273" s="2">
        <v>45748</v>
      </c>
      <c r="C273" t="s">
        <v>15</v>
      </c>
      <c r="D273" t="s">
        <v>28</v>
      </c>
      <c r="E273">
        <v>593343</v>
      </c>
      <c r="F273">
        <f t="shared" si="24"/>
        <v>0</v>
      </c>
      <c r="G273">
        <f t="shared" si="25"/>
        <v>0</v>
      </c>
      <c r="H273">
        <f t="shared" si="26"/>
        <v>0</v>
      </c>
      <c r="I273">
        <f t="shared" si="27"/>
        <v>0</v>
      </c>
      <c r="J273">
        <f t="shared" si="28"/>
        <v>0</v>
      </c>
      <c r="K273">
        <f t="shared" si="29"/>
        <v>1</v>
      </c>
    </row>
    <row r="274" spans="1:11">
      <c r="A274" t="s">
        <v>90</v>
      </c>
      <c r="B274" s="2">
        <v>45658</v>
      </c>
      <c r="C274" t="s">
        <v>27</v>
      </c>
      <c r="D274" t="s">
        <v>18</v>
      </c>
      <c r="E274">
        <v>645039.97</v>
      </c>
      <c r="F274">
        <f t="shared" si="24"/>
        <v>0</v>
      </c>
      <c r="G274">
        <f t="shared" si="25"/>
        <v>0</v>
      </c>
      <c r="H274">
        <f t="shared" si="26"/>
        <v>1</v>
      </c>
      <c r="I274">
        <f t="shared" si="27"/>
        <v>0</v>
      </c>
      <c r="J274">
        <f t="shared" si="28"/>
        <v>1</v>
      </c>
      <c r="K274">
        <f t="shared" si="29"/>
        <v>0</v>
      </c>
    </row>
    <row r="275" spans="1:11">
      <c r="A275" t="s">
        <v>90</v>
      </c>
      <c r="B275" s="2">
        <v>45689</v>
      </c>
      <c r="C275" t="s">
        <v>27</v>
      </c>
      <c r="D275" t="s">
        <v>18</v>
      </c>
      <c r="E275">
        <v>561597.32999999996</v>
      </c>
      <c r="F275">
        <f t="shared" si="24"/>
        <v>0</v>
      </c>
      <c r="G275">
        <f t="shared" si="25"/>
        <v>0</v>
      </c>
      <c r="H275">
        <f t="shared" si="26"/>
        <v>1</v>
      </c>
      <c r="I275">
        <f t="shared" si="27"/>
        <v>0</v>
      </c>
      <c r="J275">
        <f t="shared" si="28"/>
        <v>1</v>
      </c>
      <c r="K275">
        <f t="shared" si="29"/>
        <v>0</v>
      </c>
    </row>
    <row r="276" spans="1:11">
      <c r="A276" t="s">
        <v>90</v>
      </c>
      <c r="B276" s="2">
        <v>45717</v>
      </c>
      <c r="C276" t="s">
        <v>27</v>
      </c>
      <c r="D276" t="s">
        <v>18</v>
      </c>
      <c r="E276">
        <v>635837.74</v>
      </c>
      <c r="F276">
        <f t="shared" si="24"/>
        <v>0</v>
      </c>
      <c r="G276">
        <f t="shared" si="25"/>
        <v>0</v>
      </c>
      <c r="H276">
        <f t="shared" si="26"/>
        <v>1</v>
      </c>
      <c r="I276">
        <f t="shared" si="27"/>
        <v>0</v>
      </c>
      <c r="J276">
        <f t="shared" si="28"/>
        <v>1</v>
      </c>
      <c r="K276">
        <f t="shared" si="29"/>
        <v>0</v>
      </c>
    </row>
    <row r="277" spans="1:11">
      <c r="A277" t="s">
        <v>90</v>
      </c>
      <c r="B277" s="2">
        <v>45748</v>
      </c>
      <c r="C277" t="s">
        <v>27</v>
      </c>
      <c r="D277" t="s">
        <v>18</v>
      </c>
      <c r="E277">
        <v>686737.87</v>
      </c>
      <c r="F277">
        <f t="shared" si="24"/>
        <v>0</v>
      </c>
      <c r="G277">
        <f t="shared" si="25"/>
        <v>0</v>
      </c>
      <c r="H277">
        <f t="shared" si="26"/>
        <v>1</v>
      </c>
      <c r="I277">
        <f t="shared" si="27"/>
        <v>0</v>
      </c>
      <c r="J277">
        <f t="shared" si="28"/>
        <v>1</v>
      </c>
      <c r="K277">
        <f t="shared" si="29"/>
        <v>0</v>
      </c>
    </row>
    <row r="278" spans="1:11">
      <c r="A278" t="s">
        <v>91</v>
      </c>
      <c r="B278" s="2">
        <v>45658</v>
      </c>
      <c r="C278" t="s">
        <v>24</v>
      </c>
      <c r="D278" t="s">
        <v>16</v>
      </c>
      <c r="E278">
        <v>673076.34</v>
      </c>
      <c r="F278">
        <f t="shared" si="24"/>
        <v>0</v>
      </c>
      <c r="G278">
        <f t="shared" si="25"/>
        <v>1</v>
      </c>
      <c r="H278">
        <f t="shared" si="26"/>
        <v>0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>
      <c r="A279" t="s">
        <v>91</v>
      </c>
      <c r="B279" s="2">
        <v>45689</v>
      </c>
      <c r="C279" t="s">
        <v>24</v>
      </c>
      <c r="D279" t="s">
        <v>16</v>
      </c>
      <c r="E279">
        <v>738548.42</v>
      </c>
      <c r="F279">
        <f t="shared" si="24"/>
        <v>0</v>
      </c>
      <c r="G279">
        <f t="shared" si="25"/>
        <v>1</v>
      </c>
      <c r="H279">
        <f t="shared" si="26"/>
        <v>0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>
      <c r="A280" t="s">
        <v>91</v>
      </c>
      <c r="B280" s="2">
        <v>45717</v>
      </c>
      <c r="C280" t="s">
        <v>24</v>
      </c>
      <c r="D280" t="s">
        <v>16</v>
      </c>
      <c r="E280">
        <v>756619.77</v>
      </c>
      <c r="F280">
        <f t="shared" si="24"/>
        <v>0</v>
      </c>
      <c r="G280">
        <f t="shared" si="25"/>
        <v>1</v>
      </c>
      <c r="H280">
        <f t="shared" si="26"/>
        <v>0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>
      <c r="A281" t="s">
        <v>91</v>
      </c>
      <c r="B281" s="2">
        <v>45748</v>
      </c>
      <c r="C281" t="s">
        <v>24</v>
      </c>
      <c r="D281" t="s">
        <v>16</v>
      </c>
      <c r="E281">
        <v>761122.42</v>
      </c>
      <c r="F281">
        <f t="shared" si="24"/>
        <v>0</v>
      </c>
      <c r="G281">
        <f t="shared" si="25"/>
        <v>1</v>
      </c>
      <c r="H281">
        <f t="shared" si="26"/>
        <v>0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>
      <c r="A282" t="s">
        <v>92</v>
      </c>
      <c r="B282" s="2">
        <v>45658</v>
      </c>
      <c r="C282" t="s">
        <v>24</v>
      </c>
      <c r="D282" t="s">
        <v>18</v>
      </c>
      <c r="E282">
        <v>524899.56999999995</v>
      </c>
      <c r="F282">
        <f t="shared" si="24"/>
        <v>0</v>
      </c>
      <c r="G282">
        <f t="shared" si="25"/>
        <v>1</v>
      </c>
      <c r="H282">
        <f t="shared" si="26"/>
        <v>0</v>
      </c>
      <c r="I282">
        <f t="shared" si="27"/>
        <v>0</v>
      </c>
      <c r="J282">
        <f t="shared" si="28"/>
        <v>1</v>
      </c>
      <c r="K282">
        <f t="shared" si="29"/>
        <v>0</v>
      </c>
    </row>
    <row r="283" spans="1:11">
      <c r="A283" t="s">
        <v>92</v>
      </c>
      <c r="B283" s="2">
        <v>45689</v>
      </c>
      <c r="C283" t="s">
        <v>24</v>
      </c>
      <c r="D283" t="s">
        <v>18</v>
      </c>
      <c r="E283">
        <v>555557.77</v>
      </c>
      <c r="F283">
        <f t="shared" si="24"/>
        <v>0</v>
      </c>
      <c r="G283">
        <f t="shared" si="25"/>
        <v>1</v>
      </c>
      <c r="H283">
        <f t="shared" si="26"/>
        <v>0</v>
      </c>
      <c r="I283">
        <f t="shared" si="27"/>
        <v>0</v>
      </c>
      <c r="J283">
        <f t="shared" si="28"/>
        <v>1</v>
      </c>
      <c r="K283">
        <f t="shared" si="29"/>
        <v>0</v>
      </c>
    </row>
    <row r="284" spans="1:11">
      <c r="A284" t="s">
        <v>92</v>
      </c>
      <c r="B284" s="2">
        <v>45717</v>
      </c>
      <c r="C284" t="s">
        <v>24</v>
      </c>
      <c r="D284" t="s">
        <v>18</v>
      </c>
      <c r="E284">
        <v>714083.68</v>
      </c>
      <c r="F284">
        <f t="shared" si="24"/>
        <v>0</v>
      </c>
      <c r="G284">
        <f t="shared" si="25"/>
        <v>1</v>
      </c>
      <c r="H284">
        <f t="shared" si="26"/>
        <v>0</v>
      </c>
      <c r="I284">
        <f t="shared" si="27"/>
        <v>0</v>
      </c>
      <c r="J284">
        <f t="shared" si="28"/>
        <v>1</v>
      </c>
      <c r="K284">
        <f t="shared" si="29"/>
        <v>0</v>
      </c>
    </row>
    <row r="285" spans="1:11">
      <c r="A285" t="s">
        <v>92</v>
      </c>
      <c r="B285" s="2">
        <v>45748</v>
      </c>
      <c r="C285" t="s">
        <v>24</v>
      </c>
      <c r="D285" t="s">
        <v>18</v>
      </c>
      <c r="E285">
        <v>497439.82</v>
      </c>
      <c r="F285">
        <f t="shared" si="24"/>
        <v>0</v>
      </c>
      <c r="G285">
        <f t="shared" si="25"/>
        <v>1</v>
      </c>
      <c r="H285">
        <f t="shared" si="26"/>
        <v>0</v>
      </c>
      <c r="I285">
        <f t="shared" si="27"/>
        <v>0</v>
      </c>
      <c r="J285">
        <f t="shared" si="28"/>
        <v>1</v>
      </c>
      <c r="K285">
        <f t="shared" si="29"/>
        <v>0</v>
      </c>
    </row>
    <row r="286" spans="1:11">
      <c r="A286" t="s">
        <v>93</v>
      </c>
      <c r="B286" s="2">
        <v>45658</v>
      </c>
      <c r="C286" t="s">
        <v>27</v>
      </c>
      <c r="D286" t="s">
        <v>16</v>
      </c>
      <c r="E286">
        <v>636775.66</v>
      </c>
      <c r="F286">
        <f t="shared" si="24"/>
        <v>0</v>
      </c>
      <c r="G286">
        <f t="shared" si="25"/>
        <v>0</v>
      </c>
      <c r="H286">
        <f t="shared" si="26"/>
        <v>1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>
      <c r="A287" t="s">
        <v>93</v>
      </c>
      <c r="B287" s="2">
        <v>45689</v>
      </c>
      <c r="C287" t="s">
        <v>27</v>
      </c>
      <c r="D287" t="s">
        <v>16</v>
      </c>
      <c r="E287">
        <v>633009.53</v>
      </c>
      <c r="F287">
        <f t="shared" si="24"/>
        <v>0</v>
      </c>
      <c r="G287">
        <f t="shared" si="25"/>
        <v>0</v>
      </c>
      <c r="H287">
        <f t="shared" si="26"/>
        <v>1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>
      <c r="A288" t="s">
        <v>93</v>
      </c>
      <c r="B288" s="2">
        <v>45717</v>
      </c>
      <c r="C288" t="s">
        <v>27</v>
      </c>
      <c r="D288" t="s">
        <v>16</v>
      </c>
      <c r="E288">
        <v>609949</v>
      </c>
      <c r="F288">
        <f t="shared" si="24"/>
        <v>0</v>
      </c>
      <c r="G288">
        <f t="shared" si="25"/>
        <v>0</v>
      </c>
      <c r="H288">
        <f t="shared" si="26"/>
        <v>1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>
      <c r="A289" t="s">
        <v>93</v>
      </c>
      <c r="B289" s="2">
        <v>45748</v>
      </c>
      <c r="C289" t="s">
        <v>27</v>
      </c>
      <c r="D289" t="s">
        <v>16</v>
      </c>
      <c r="E289">
        <v>548103.69999999995</v>
      </c>
      <c r="F289">
        <f t="shared" si="24"/>
        <v>0</v>
      </c>
      <c r="G289">
        <f t="shared" si="25"/>
        <v>0</v>
      </c>
      <c r="H289">
        <f t="shared" si="26"/>
        <v>1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>
      <c r="A290" t="s">
        <v>94</v>
      </c>
      <c r="B290" s="2">
        <v>45658</v>
      </c>
      <c r="C290" t="s">
        <v>15</v>
      </c>
      <c r="D290" t="s">
        <v>16</v>
      </c>
      <c r="E290">
        <v>729424.42</v>
      </c>
      <c r="F290">
        <f t="shared" si="24"/>
        <v>0</v>
      </c>
      <c r="G290">
        <f t="shared" si="25"/>
        <v>0</v>
      </c>
      <c r="H290">
        <f t="shared" si="26"/>
        <v>0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>
      <c r="A291" t="s">
        <v>94</v>
      </c>
      <c r="B291" s="2">
        <v>45689</v>
      </c>
      <c r="C291" t="s">
        <v>15</v>
      </c>
      <c r="D291" t="s">
        <v>16</v>
      </c>
      <c r="E291">
        <v>696261.49</v>
      </c>
      <c r="F291">
        <f t="shared" si="24"/>
        <v>0</v>
      </c>
      <c r="G291">
        <f t="shared" si="25"/>
        <v>0</v>
      </c>
      <c r="H291">
        <f t="shared" si="26"/>
        <v>0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>
      <c r="A292" t="s">
        <v>94</v>
      </c>
      <c r="B292" s="2">
        <v>45717</v>
      </c>
      <c r="C292" t="s">
        <v>15</v>
      </c>
      <c r="D292" t="s">
        <v>16</v>
      </c>
      <c r="E292">
        <v>813316.71</v>
      </c>
      <c r="F292">
        <f t="shared" si="24"/>
        <v>0</v>
      </c>
      <c r="G292">
        <f t="shared" si="25"/>
        <v>0</v>
      </c>
      <c r="H292">
        <f t="shared" si="26"/>
        <v>0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>
      <c r="A293" t="s">
        <v>94</v>
      </c>
      <c r="B293" s="2">
        <v>45748</v>
      </c>
      <c r="C293" t="s">
        <v>15</v>
      </c>
      <c r="D293" t="s">
        <v>16</v>
      </c>
      <c r="E293">
        <v>702068.92</v>
      </c>
      <c r="F293">
        <f t="shared" si="24"/>
        <v>0</v>
      </c>
      <c r="G293">
        <f t="shared" si="25"/>
        <v>0</v>
      </c>
      <c r="H293">
        <f t="shared" si="26"/>
        <v>0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>
      <c r="A294" t="s">
        <v>95</v>
      </c>
      <c r="B294" s="2">
        <v>45658</v>
      </c>
      <c r="C294" t="s">
        <v>27</v>
      </c>
      <c r="D294" t="s">
        <v>18</v>
      </c>
      <c r="E294">
        <v>546223.69999999995</v>
      </c>
      <c r="F294">
        <f t="shared" si="24"/>
        <v>0</v>
      </c>
      <c r="G294">
        <f t="shared" si="25"/>
        <v>0</v>
      </c>
      <c r="H294">
        <f t="shared" si="26"/>
        <v>1</v>
      </c>
      <c r="I294">
        <f t="shared" si="27"/>
        <v>0</v>
      </c>
      <c r="J294">
        <f t="shared" si="28"/>
        <v>1</v>
      </c>
      <c r="K294">
        <f t="shared" si="29"/>
        <v>0</v>
      </c>
    </row>
    <row r="295" spans="1:11">
      <c r="A295" t="s">
        <v>95</v>
      </c>
      <c r="B295" s="2">
        <v>45689</v>
      </c>
      <c r="C295" t="s">
        <v>27</v>
      </c>
      <c r="D295" t="s">
        <v>18</v>
      </c>
      <c r="E295">
        <v>533121.26</v>
      </c>
      <c r="F295">
        <f t="shared" si="24"/>
        <v>0</v>
      </c>
      <c r="G295">
        <f t="shared" si="25"/>
        <v>0</v>
      </c>
      <c r="H295">
        <f t="shared" si="26"/>
        <v>1</v>
      </c>
      <c r="I295">
        <f t="shared" si="27"/>
        <v>0</v>
      </c>
      <c r="J295">
        <f t="shared" si="28"/>
        <v>1</v>
      </c>
      <c r="K295">
        <f t="shared" si="29"/>
        <v>0</v>
      </c>
    </row>
    <row r="296" spans="1:11">
      <c r="A296" t="s">
        <v>95</v>
      </c>
      <c r="B296" s="2">
        <v>45717</v>
      </c>
      <c r="C296" t="s">
        <v>27</v>
      </c>
      <c r="D296" t="s">
        <v>18</v>
      </c>
      <c r="E296">
        <v>498970.32</v>
      </c>
      <c r="F296">
        <f t="shared" si="24"/>
        <v>0</v>
      </c>
      <c r="G296">
        <f t="shared" si="25"/>
        <v>0</v>
      </c>
      <c r="H296">
        <f t="shared" si="26"/>
        <v>1</v>
      </c>
      <c r="I296">
        <f t="shared" si="27"/>
        <v>0</v>
      </c>
      <c r="J296">
        <f t="shared" si="28"/>
        <v>1</v>
      </c>
      <c r="K296">
        <f t="shared" si="29"/>
        <v>0</v>
      </c>
    </row>
    <row r="297" spans="1:11">
      <c r="A297" t="s">
        <v>95</v>
      </c>
      <c r="B297" s="2">
        <v>45748</v>
      </c>
      <c r="C297" t="s">
        <v>27</v>
      </c>
      <c r="D297" t="s">
        <v>18</v>
      </c>
      <c r="E297">
        <v>487738.26</v>
      </c>
      <c r="F297">
        <f t="shared" si="24"/>
        <v>0</v>
      </c>
      <c r="G297">
        <f t="shared" si="25"/>
        <v>0</v>
      </c>
      <c r="H297">
        <f t="shared" si="26"/>
        <v>1</v>
      </c>
      <c r="I297">
        <f t="shared" si="27"/>
        <v>0</v>
      </c>
      <c r="J297">
        <f t="shared" si="28"/>
        <v>1</v>
      </c>
      <c r="K297">
        <f t="shared" si="29"/>
        <v>0</v>
      </c>
    </row>
    <row r="298" spans="1:11">
      <c r="A298" t="s">
        <v>96</v>
      </c>
      <c r="B298" s="2">
        <v>45658</v>
      </c>
      <c r="C298" t="s">
        <v>27</v>
      </c>
      <c r="D298" t="s">
        <v>18</v>
      </c>
      <c r="E298">
        <v>668459.37</v>
      </c>
      <c r="F298">
        <f t="shared" si="24"/>
        <v>0</v>
      </c>
      <c r="G298">
        <f t="shared" si="25"/>
        <v>0</v>
      </c>
      <c r="H298">
        <f t="shared" si="26"/>
        <v>1</v>
      </c>
      <c r="I298">
        <f t="shared" si="27"/>
        <v>0</v>
      </c>
      <c r="J298">
        <f t="shared" si="28"/>
        <v>1</v>
      </c>
      <c r="K298">
        <f t="shared" si="29"/>
        <v>0</v>
      </c>
    </row>
    <row r="299" spans="1:11">
      <c r="A299" t="s">
        <v>96</v>
      </c>
      <c r="B299" s="2">
        <v>45689</v>
      </c>
      <c r="C299" t="s">
        <v>27</v>
      </c>
      <c r="D299" t="s">
        <v>18</v>
      </c>
      <c r="E299">
        <v>763162.45</v>
      </c>
      <c r="F299">
        <f t="shared" si="24"/>
        <v>0</v>
      </c>
      <c r="G299">
        <f t="shared" si="25"/>
        <v>0</v>
      </c>
      <c r="H299">
        <f t="shared" si="26"/>
        <v>1</v>
      </c>
      <c r="I299">
        <f t="shared" si="27"/>
        <v>0</v>
      </c>
      <c r="J299">
        <f t="shared" si="28"/>
        <v>1</v>
      </c>
      <c r="K299">
        <f t="shared" si="29"/>
        <v>0</v>
      </c>
    </row>
    <row r="300" spans="1:11">
      <c r="A300" t="s">
        <v>96</v>
      </c>
      <c r="B300" s="2">
        <v>45717</v>
      </c>
      <c r="C300" t="s">
        <v>27</v>
      </c>
      <c r="D300" t="s">
        <v>18</v>
      </c>
      <c r="E300">
        <v>599017.32999999996</v>
      </c>
      <c r="F300">
        <f t="shared" si="24"/>
        <v>0</v>
      </c>
      <c r="G300">
        <f t="shared" si="25"/>
        <v>0</v>
      </c>
      <c r="H300">
        <f t="shared" si="26"/>
        <v>1</v>
      </c>
      <c r="I300">
        <f t="shared" si="27"/>
        <v>0</v>
      </c>
      <c r="J300">
        <f t="shared" si="28"/>
        <v>1</v>
      </c>
      <c r="K300">
        <f t="shared" si="29"/>
        <v>0</v>
      </c>
    </row>
    <row r="301" spans="1:11">
      <c r="A301" t="s">
        <v>96</v>
      </c>
      <c r="B301" s="2">
        <v>45748</v>
      </c>
      <c r="C301" t="s">
        <v>27</v>
      </c>
      <c r="D301" t="s">
        <v>18</v>
      </c>
      <c r="E301">
        <v>401582.58</v>
      </c>
      <c r="F301">
        <f t="shared" si="24"/>
        <v>0</v>
      </c>
      <c r="G301">
        <f t="shared" si="25"/>
        <v>0</v>
      </c>
      <c r="H301">
        <f t="shared" si="26"/>
        <v>1</v>
      </c>
      <c r="I301">
        <f t="shared" si="27"/>
        <v>0</v>
      </c>
      <c r="J301">
        <f t="shared" si="28"/>
        <v>1</v>
      </c>
      <c r="K301">
        <f t="shared" si="29"/>
        <v>0</v>
      </c>
    </row>
    <row r="302" spans="1:11">
      <c r="A302" t="s">
        <v>97</v>
      </c>
      <c r="B302" s="2">
        <v>45658</v>
      </c>
      <c r="C302" t="s">
        <v>20</v>
      </c>
      <c r="D302" t="s">
        <v>28</v>
      </c>
      <c r="E302">
        <v>703812.99</v>
      </c>
      <c r="F302">
        <f t="shared" si="24"/>
        <v>1</v>
      </c>
      <c r="G302">
        <f t="shared" si="25"/>
        <v>0</v>
      </c>
      <c r="H302">
        <f t="shared" si="26"/>
        <v>0</v>
      </c>
      <c r="I302">
        <f t="shared" si="27"/>
        <v>0</v>
      </c>
      <c r="J302">
        <f t="shared" si="28"/>
        <v>0</v>
      </c>
      <c r="K302">
        <f t="shared" si="29"/>
        <v>1</v>
      </c>
    </row>
    <row r="303" spans="1:11">
      <c r="A303" t="s">
        <v>97</v>
      </c>
      <c r="B303" s="2">
        <v>45689</v>
      </c>
      <c r="C303" t="s">
        <v>20</v>
      </c>
      <c r="D303" t="s">
        <v>28</v>
      </c>
      <c r="E303">
        <v>724346.73</v>
      </c>
      <c r="F303">
        <f t="shared" si="24"/>
        <v>1</v>
      </c>
      <c r="G303">
        <f t="shared" si="25"/>
        <v>0</v>
      </c>
      <c r="H303">
        <f t="shared" si="26"/>
        <v>0</v>
      </c>
      <c r="I303">
        <f t="shared" si="27"/>
        <v>0</v>
      </c>
      <c r="J303">
        <f t="shared" si="28"/>
        <v>0</v>
      </c>
      <c r="K303">
        <f t="shared" si="29"/>
        <v>1</v>
      </c>
    </row>
    <row r="304" spans="1:11">
      <c r="A304" t="s">
        <v>97</v>
      </c>
      <c r="B304" s="2">
        <v>45717</v>
      </c>
      <c r="C304" t="s">
        <v>20</v>
      </c>
      <c r="D304" t="s">
        <v>28</v>
      </c>
      <c r="E304">
        <v>730890.01</v>
      </c>
      <c r="F304">
        <f t="shared" si="24"/>
        <v>1</v>
      </c>
      <c r="G304">
        <f t="shared" si="25"/>
        <v>0</v>
      </c>
      <c r="H304">
        <f t="shared" si="26"/>
        <v>0</v>
      </c>
      <c r="I304">
        <f t="shared" si="27"/>
        <v>0</v>
      </c>
      <c r="J304">
        <f t="shared" si="28"/>
        <v>0</v>
      </c>
      <c r="K304">
        <f t="shared" si="29"/>
        <v>1</v>
      </c>
    </row>
    <row r="305" spans="1:11">
      <c r="A305" t="s">
        <v>97</v>
      </c>
      <c r="B305" s="2">
        <v>45748</v>
      </c>
      <c r="C305" t="s">
        <v>20</v>
      </c>
      <c r="D305" t="s">
        <v>28</v>
      </c>
      <c r="E305">
        <v>780580.95</v>
      </c>
      <c r="F305">
        <f t="shared" si="24"/>
        <v>1</v>
      </c>
      <c r="G305">
        <f t="shared" si="25"/>
        <v>0</v>
      </c>
      <c r="H305">
        <f t="shared" si="26"/>
        <v>0</v>
      </c>
      <c r="I305">
        <f t="shared" si="27"/>
        <v>0</v>
      </c>
      <c r="J305">
        <f t="shared" si="28"/>
        <v>0</v>
      </c>
      <c r="K305">
        <f t="shared" si="29"/>
        <v>1</v>
      </c>
    </row>
    <row r="306" spans="1:11">
      <c r="A306" t="s">
        <v>98</v>
      </c>
      <c r="B306" s="2">
        <v>45658</v>
      </c>
      <c r="C306" t="s">
        <v>24</v>
      </c>
      <c r="D306" t="s">
        <v>16</v>
      </c>
      <c r="E306">
        <v>727957.48</v>
      </c>
      <c r="F306">
        <f t="shared" si="24"/>
        <v>0</v>
      </c>
      <c r="G306">
        <f t="shared" si="25"/>
        <v>1</v>
      </c>
      <c r="H306">
        <f t="shared" si="26"/>
        <v>0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>
      <c r="A307" t="s">
        <v>98</v>
      </c>
      <c r="B307" s="2">
        <v>45689</v>
      </c>
      <c r="C307" t="s">
        <v>24</v>
      </c>
      <c r="D307" t="s">
        <v>16</v>
      </c>
      <c r="E307">
        <v>538376</v>
      </c>
      <c r="F307">
        <f t="shared" si="24"/>
        <v>0</v>
      </c>
      <c r="G307">
        <f t="shared" si="25"/>
        <v>1</v>
      </c>
      <c r="H307">
        <f t="shared" si="26"/>
        <v>0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>
      <c r="A308" t="s">
        <v>98</v>
      </c>
      <c r="B308" s="2">
        <v>45717</v>
      </c>
      <c r="C308" t="s">
        <v>24</v>
      </c>
      <c r="D308" t="s">
        <v>16</v>
      </c>
      <c r="E308">
        <v>665342.49</v>
      </c>
      <c r="F308">
        <f t="shared" si="24"/>
        <v>0</v>
      </c>
      <c r="G308">
        <f t="shared" si="25"/>
        <v>1</v>
      </c>
      <c r="H308">
        <f t="shared" si="26"/>
        <v>0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>
      <c r="A309" t="s">
        <v>98</v>
      </c>
      <c r="B309" s="2">
        <v>45748</v>
      </c>
      <c r="C309" t="s">
        <v>24</v>
      </c>
      <c r="D309" t="s">
        <v>16</v>
      </c>
      <c r="E309">
        <v>651164.18000000005</v>
      </c>
      <c r="F309">
        <f t="shared" si="24"/>
        <v>0</v>
      </c>
      <c r="G309">
        <f t="shared" si="25"/>
        <v>1</v>
      </c>
      <c r="H309">
        <f t="shared" si="26"/>
        <v>0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>
      <c r="A310" t="s">
        <v>99</v>
      </c>
      <c r="B310" s="2">
        <v>45658</v>
      </c>
      <c r="C310" t="s">
        <v>24</v>
      </c>
      <c r="D310" t="s">
        <v>18</v>
      </c>
      <c r="E310">
        <v>628538.30000000005</v>
      </c>
      <c r="F310">
        <f t="shared" si="24"/>
        <v>0</v>
      </c>
      <c r="G310">
        <f t="shared" si="25"/>
        <v>1</v>
      </c>
      <c r="H310">
        <f t="shared" si="26"/>
        <v>0</v>
      </c>
      <c r="I310">
        <f t="shared" si="27"/>
        <v>0</v>
      </c>
      <c r="J310">
        <f t="shared" si="28"/>
        <v>1</v>
      </c>
      <c r="K310">
        <f t="shared" si="29"/>
        <v>0</v>
      </c>
    </row>
    <row r="311" spans="1:11">
      <c r="A311" t="s">
        <v>99</v>
      </c>
      <c r="B311" s="2">
        <v>45689</v>
      </c>
      <c r="C311" t="s">
        <v>24</v>
      </c>
      <c r="D311" t="s">
        <v>18</v>
      </c>
      <c r="E311">
        <v>536524.84</v>
      </c>
      <c r="F311">
        <f t="shared" si="24"/>
        <v>0</v>
      </c>
      <c r="G311">
        <f t="shared" si="25"/>
        <v>1</v>
      </c>
      <c r="H311">
        <f t="shared" si="26"/>
        <v>0</v>
      </c>
      <c r="I311">
        <f t="shared" si="27"/>
        <v>0</v>
      </c>
      <c r="J311">
        <f t="shared" si="28"/>
        <v>1</v>
      </c>
      <c r="K311">
        <f t="shared" si="29"/>
        <v>0</v>
      </c>
    </row>
    <row r="312" spans="1:11">
      <c r="A312" t="s">
        <v>99</v>
      </c>
      <c r="B312" s="2">
        <v>45717</v>
      </c>
      <c r="C312" t="s">
        <v>24</v>
      </c>
      <c r="D312" t="s">
        <v>18</v>
      </c>
      <c r="E312">
        <v>621677.30000000005</v>
      </c>
      <c r="F312">
        <f t="shared" si="24"/>
        <v>0</v>
      </c>
      <c r="G312">
        <f t="shared" si="25"/>
        <v>1</v>
      </c>
      <c r="H312">
        <f t="shared" si="26"/>
        <v>0</v>
      </c>
      <c r="I312">
        <f t="shared" si="27"/>
        <v>0</v>
      </c>
      <c r="J312">
        <f t="shared" si="28"/>
        <v>1</v>
      </c>
      <c r="K312">
        <f t="shared" si="29"/>
        <v>0</v>
      </c>
    </row>
    <row r="313" spans="1:11">
      <c r="A313" t="s">
        <v>99</v>
      </c>
      <c r="B313" s="2">
        <v>45748</v>
      </c>
      <c r="C313" t="s">
        <v>24</v>
      </c>
      <c r="D313" t="s">
        <v>18</v>
      </c>
      <c r="E313">
        <v>771129.07</v>
      </c>
      <c r="F313">
        <f t="shared" si="24"/>
        <v>0</v>
      </c>
      <c r="G313">
        <f t="shared" si="25"/>
        <v>1</v>
      </c>
      <c r="H313">
        <f t="shared" si="26"/>
        <v>0</v>
      </c>
      <c r="I313">
        <f t="shared" si="27"/>
        <v>0</v>
      </c>
      <c r="J313">
        <f t="shared" si="28"/>
        <v>1</v>
      </c>
      <c r="K313">
        <f t="shared" si="29"/>
        <v>0</v>
      </c>
    </row>
    <row r="314" spans="1:11">
      <c r="A314" t="s">
        <v>100</v>
      </c>
      <c r="B314" s="2">
        <v>45658</v>
      </c>
      <c r="C314" t="s">
        <v>20</v>
      </c>
      <c r="D314" t="s">
        <v>16</v>
      </c>
      <c r="E314">
        <v>702052.47</v>
      </c>
      <c r="F314">
        <f t="shared" si="24"/>
        <v>1</v>
      </c>
      <c r="G314">
        <f t="shared" si="25"/>
        <v>0</v>
      </c>
      <c r="H314">
        <f t="shared" si="26"/>
        <v>0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>
      <c r="A315" t="s">
        <v>100</v>
      </c>
      <c r="B315" s="2">
        <v>45689</v>
      </c>
      <c r="C315" t="s">
        <v>20</v>
      </c>
      <c r="D315" t="s">
        <v>16</v>
      </c>
      <c r="E315">
        <v>688368.46</v>
      </c>
      <c r="F315">
        <f t="shared" si="24"/>
        <v>1</v>
      </c>
      <c r="G315">
        <f t="shared" si="25"/>
        <v>0</v>
      </c>
      <c r="H315">
        <f t="shared" si="26"/>
        <v>0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>
      <c r="A316" t="s">
        <v>100</v>
      </c>
      <c r="B316" s="2">
        <v>45717</v>
      </c>
      <c r="C316" t="s">
        <v>20</v>
      </c>
      <c r="D316" t="s">
        <v>16</v>
      </c>
      <c r="E316">
        <v>712375.77</v>
      </c>
      <c r="F316">
        <f t="shared" si="24"/>
        <v>1</v>
      </c>
      <c r="G316">
        <f t="shared" si="25"/>
        <v>0</v>
      </c>
      <c r="H316">
        <f t="shared" si="26"/>
        <v>0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>
      <c r="A317" t="s">
        <v>100</v>
      </c>
      <c r="B317" s="2">
        <v>45748</v>
      </c>
      <c r="C317" t="s">
        <v>20</v>
      </c>
      <c r="D317" t="s">
        <v>16</v>
      </c>
      <c r="E317">
        <v>844710.67</v>
      </c>
      <c r="F317">
        <f t="shared" si="24"/>
        <v>1</v>
      </c>
      <c r="G317">
        <f t="shared" si="25"/>
        <v>0</v>
      </c>
      <c r="H317">
        <f t="shared" si="26"/>
        <v>0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>
      <c r="A318" t="s">
        <v>101</v>
      </c>
      <c r="B318" s="2">
        <v>45658</v>
      </c>
      <c r="C318" t="s">
        <v>15</v>
      </c>
      <c r="D318" t="s">
        <v>16</v>
      </c>
      <c r="E318">
        <v>620264.19999999995</v>
      </c>
      <c r="F318">
        <f t="shared" si="24"/>
        <v>0</v>
      </c>
      <c r="G318">
        <f t="shared" si="25"/>
        <v>0</v>
      </c>
      <c r="H318">
        <f t="shared" si="26"/>
        <v>0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>
      <c r="A319" t="s">
        <v>101</v>
      </c>
      <c r="B319" s="2">
        <v>45689</v>
      </c>
      <c r="C319" t="s">
        <v>15</v>
      </c>
      <c r="D319" t="s">
        <v>16</v>
      </c>
      <c r="E319">
        <v>536845.42000000004</v>
      </c>
      <c r="F319">
        <f t="shared" si="24"/>
        <v>0</v>
      </c>
      <c r="G319">
        <f t="shared" si="25"/>
        <v>0</v>
      </c>
      <c r="H319">
        <f t="shared" si="26"/>
        <v>0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>
      <c r="A320" t="s">
        <v>101</v>
      </c>
      <c r="B320" s="2">
        <v>45717</v>
      </c>
      <c r="C320" t="s">
        <v>15</v>
      </c>
      <c r="D320" t="s">
        <v>16</v>
      </c>
      <c r="E320">
        <v>726776.22</v>
      </c>
      <c r="F320">
        <f t="shared" si="24"/>
        <v>0</v>
      </c>
      <c r="G320">
        <f t="shared" si="25"/>
        <v>0</v>
      </c>
      <c r="H320">
        <f t="shared" si="26"/>
        <v>0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>
      <c r="A321" t="s">
        <v>101</v>
      </c>
      <c r="B321" s="2">
        <v>45748</v>
      </c>
      <c r="C321" t="s">
        <v>15</v>
      </c>
      <c r="D321" t="s">
        <v>16</v>
      </c>
      <c r="E321">
        <v>559660.84</v>
      </c>
      <c r="F321">
        <f t="shared" si="24"/>
        <v>0</v>
      </c>
      <c r="G321">
        <f t="shared" si="25"/>
        <v>0</v>
      </c>
      <c r="H321">
        <f t="shared" si="26"/>
        <v>0</v>
      </c>
      <c r="I321">
        <f t="shared" si="27"/>
        <v>0</v>
      </c>
      <c r="J321">
        <f t="shared" si="28"/>
        <v>0</v>
      </c>
      <c r="K321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1D32-0BD3-DA45-B07D-85A5911C6CE8}">
  <dimension ref="A1:U58"/>
  <sheetViews>
    <sheetView zoomScale="90" zoomScaleNormal="90" workbookViewId="0">
      <selection activeCell="S31" sqref="S31"/>
    </sheetView>
  </sheetViews>
  <sheetFormatPr baseColWidth="10" defaultRowHeight="16"/>
  <cols>
    <col min="1" max="1" width="14.1640625" customWidth="1"/>
    <col min="2" max="2" width="12.6640625" customWidth="1"/>
    <col min="3" max="3" width="12.1640625" customWidth="1"/>
    <col min="6" max="6" width="12.6640625" customWidth="1"/>
    <col min="16" max="16" width="17.1640625" customWidth="1"/>
    <col min="18" max="18" width="13" customWidth="1"/>
    <col min="21" max="21" width="12.83203125" customWidth="1"/>
  </cols>
  <sheetData>
    <row r="1" spans="1:9">
      <c r="A1" s="7" t="s">
        <v>110</v>
      </c>
      <c r="C1" t="s">
        <v>133</v>
      </c>
    </row>
    <row r="2" spans="1:9" ht="17" thickBot="1"/>
    <row r="3" spans="1:9">
      <c r="A3" s="6" t="s">
        <v>111</v>
      </c>
      <c r="B3" s="6"/>
    </row>
    <row r="4" spans="1:9">
      <c r="A4" t="s">
        <v>112</v>
      </c>
      <c r="B4">
        <v>0.40895561021322352</v>
      </c>
    </row>
    <row r="5" spans="1:9">
      <c r="A5" t="s">
        <v>113</v>
      </c>
      <c r="B5">
        <v>0.16724469112487</v>
      </c>
    </row>
    <row r="6" spans="1:9">
      <c r="A6" t="s">
        <v>114</v>
      </c>
      <c r="B6">
        <v>0.16462596373847024</v>
      </c>
    </row>
    <row r="7" spans="1:9">
      <c r="A7" t="s">
        <v>115</v>
      </c>
      <c r="B7">
        <v>94846.03383215853</v>
      </c>
    </row>
    <row r="8" spans="1:9" ht="17" thickBot="1">
      <c r="A8" s="4" t="s">
        <v>116</v>
      </c>
      <c r="B8" s="4">
        <v>320</v>
      </c>
    </row>
    <row r="10" spans="1:9" ht="17" thickBot="1">
      <c r="A10" t="s">
        <v>117</v>
      </c>
    </row>
    <row r="11" spans="1:9">
      <c r="A11" s="5"/>
      <c r="B11" s="5" t="s">
        <v>121</v>
      </c>
      <c r="C11" s="5" t="s">
        <v>122</v>
      </c>
      <c r="D11" s="5" t="s">
        <v>123</v>
      </c>
      <c r="E11" s="5" t="s">
        <v>124</v>
      </c>
      <c r="F11" s="5" t="s">
        <v>125</v>
      </c>
    </row>
    <row r="12" spans="1:9">
      <c r="A12" t="s">
        <v>118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119</v>
      </c>
      <c r="B13">
        <v>318</v>
      </c>
      <c r="C13">
        <v>2860654902513.7251</v>
      </c>
      <c r="D13">
        <v>8995770133.6909599</v>
      </c>
    </row>
    <row r="14" spans="1:9" ht="17" thickBot="1">
      <c r="A14" s="4" t="s">
        <v>120</v>
      </c>
      <c r="B14" s="4">
        <v>319</v>
      </c>
      <c r="C14" s="4">
        <v>3435168616790.7393</v>
      </c>
      <c r="D14" s="4"/>
      <c r="E14" s="4"/>
      <c r="F14" s="4"/>
    </row>
    <row r="15" spans="1:9" ht="17" thickBot="1"/>
    <row r="16" spans="1:9">
      <c r="A16" s="5"/>
      <c r="B16" s="5" t="s">
        <v>126</v>
      </c>
      <c r="C16" s="5" t="s">
        <v>115</v>
      </c>
      <c r="D16" s="5" t="s">
        <v>127</v>
      </c>
      <c r="E16" s="5" t="s">
        <v>128</v>
      </c>
      <c r="F16" s="5" t="s">
        <v>129</v>
      </c>
      <c r="G16" s="5" t="s">
        <v>130</v>
      </c>
      <c r="H16" s="5" t="s">
        <v>131</v>
      </c>
      <c r="I16" s="5" t="s">
        <v>132</v>
      </c>
    </row>
    <row r="17" spans="1:21">
      <c r="A17" t="s">
        <v>109</v>
      </c>
      <c r="B17">
        <v>560777.34544943704</v>
      </c>
      <c r="C17">
        <v>15906.905953068674</v>
      </c>
      <c r="D17">
        <v>35.253703460870398</v>
      </c>
      <c r="E17">
        <v>6.952876876284135E-112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21" ht="17" thickBot="1">
      <c r="A18" s="4" t="s">
        <v>4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2.6538587374874827</v>
      </c>
      <c r="H18" s="4">
        <v>1.6052919176921738</v>
      </c>
      <c r="I18" s="4">
        <v>2.6538587374874827</v>
      </c>
    </row>
    <row r="21" spans="1:21">
      <c r="A21" s="7" t="s">
        <v>110</v>
      </c>
      <c r="C21" t="s">
        <v>135</v>
      </c>
    </row>
    <row r="22" spans="1:21" ht="17" thickBot="1"/>
    <row r="23" spans="1:21">
      <c r="A23" s="6" t="s">
        <v>111</v>
      </c>
      <c r="B23" s="6"/>
    </row>
    <row r="24" spans="1:21">
      <c r="A24" t="s">
        <v>112</v>
      </c>
      <c r="B24">
        <v>0.85807070804410468</v>
      </c>
    </row>
    <row r="25" spans="1:21">
      <c r="A25" t="s">
        <v>113</v>
      </c>
      <c r="B25">
        <v>0.73628534000331114</v>
      </c>
    </row>
    <row r="26" spans="1:21">
      <c r="A26" t="s">
        <v>114</v>
      </c>
      <c r="B26">
        <v>0.73545604861967373</v>
      </c>
      <c r="O26" s="7"/>
    </row>
    <row r="27" spans="1:21">
      <c r="A27" t="s">
        <v>115</v>
      </c>
      <c r="B27">
        <v>53373.736380790499</v>
      </c>
      <c r="O27" t="s">
        <v>108</v>
      </c>
      <c r="P27" t="s">
        <v>136</v>
      </c>
      <c r="Q27" t="s">
        <v>109</v>
      </c>
      <c r="R27" t="s">
        <v>137</v>
      </c>
      <c r="S27" t="s">
        <v>138</v>
      </c>
      <c r="T27" t="s">
        <v>128</v>
      </c>
      <c r="U27" t="s">
        <v>139</v>
      </c>
    </row>
    <row r="28" spans="1:21" ht="17" thickBot="1">
      <c r="A28" s="4" t="s">
        <v>116</v>
      </c>
      <c r="B28" s="4">
        <v>320</v>
      </c>
    </row>
    <row r="29" spans="1:21">
      <c r="O29" t="s">
        <v>140</v>
      </c>
      <c r="P29" t="s">
        <v>4</v>
      </c>
      <c r="Q29">
        <v>560777</v>
      </c>
      <c r="R29">
        <v>2.13</v>
      </c>
      <c r="S29">
        <v>0.16700000000000001</v>
      </c>
      <c r="T29">
        <v>0</v>
      </c>
      <c r="U29" t="s">
        <v>143</v>
      </c>
    </row>
    <row r="30" spans="1:21" ht="17" thickBot="1">
      <c r="A30" t="s">
        <v>117</v>
      </c>
      <c r="O30" t="s">
        <v>141</v>
      </c>
      <c r="P30" t="s">
        <v>5</v>
      </c>
      <c r="Q30">
        <v>446400</v>
      </c>
      <c r="R30">
        <v>35.68</v>
      </c>
      <c r="S30">
        <v>0.73599999999999999</v>
      </c>
      <c r="T30">
        <v>0</v>
      </c>
      <c r="U30" t="s">
        <v>143</v>
      </c>
    </row>
    <row r="31" spans="1:21">
      <c r="A31" s="5"/>
      <c r="B31" s="5" t="s">
        <v>121</v>
      </c>
      <c r="C31" s="5" t="s">
        <v>122</v>
      </c>
      <c r="D31" s="5" t="s">
        <v>123</v>
      </c>
      <c r="E31" s="5" t="s">
        <v>124</v>
      </c>
      <c r="F31" s="5" t="s">
        <v>125</v>
      </c>
      <c r="O31" t="s">
        <v>142</v>
      </c>
      <c r="P31" t="s">
        <v>6</v>
      </c>
      <c r="Q31">
        <v>697800</v>
      </c>
      <c r="R31">
        <v>-138700</v>
      </c>
      <c r="S31">
        <v>8.0000000000000002E-3</v>
      </c>
      <c r="T31">
        <v>0.104</v>
      </c>
      <c r="U31" t="s">
        <v>144</v>
      </c>
    </row>
    <row r="32" spans="1:21">
      <c r="A32" t="s">
        <v>118</v>
      </c>
      <c r="B32">
        <v>1</v>
      </c>
      <c r="C32">
        <v>2529264292982.4736</v>
      </c>
      <c r="D32">
        <v>2529264292982.4736</v>
      </c>
      <c r="E32">
        <v>887.84877611276033</v>
      </c>
      <c r="F32">
        <v>4.7503615090053331E-94</v>
      </c>
    </row>
    <row r="33" spans="1:9">
      <c r="A33" t="s">
        <v>119</v>
      </c>
      <c r="B33">
        <v>318</v>
      </c>
      <c r="C33">
        <v>905904323808.26587</v>
      </c>
      <c r="D33">
        <v>2848755735.246119</v>
      </c>
    </row>
    <row r="34" spans="1:9" ht="17" thickBot="1">
      <c r="A34" s="4" t="s">
        <v>120</v>
      </c>
      <c r="B34" s="4">
        <v>319</v>
      </c>
      <c r="C34" s="4">
        <v>3435168616790.7393</v>
      </c>
      <c r="D34" s="4"/>
      <c r="E34" s="4"/>
      <c r="F34" s="4"/>
    </row>
    <row r="35" spans="1:9" ht="17" thickBot="1"/>
    <row r="36" spans="1:9">
      <c r="A36" s="5"/>
      <c r="B36" s="5" t="s">
        <v>126</v>
      </c>
      <c r="C36" s="5" t="s">
        <v>115</v>
      </c>
      <c r="D36" s="5" t="s">
        <v>127</v>
      </c>
      <c r="E36" s="5" t="s">
        <v>128</v>
      </c>
      <c r="F36" s="5" t="s">
        <v>129</v>
      </c>
      <c r="G36" s="5" t="s">
        <v>130</v>
      </c>
      <c r="H36" s="5" t="s">
        <v>131</v>
      </c>
      <c r="I36" s="5" t="s">
        <v>132</v>
      </c>
    </row>
    <row r="37" spans="1:9">
      <c r="A37" t="s">
        <v>109</v>
      </c>
      <c r="B37">
        <v>446410.58293395344</v>
      </c>
      <c r="C37">
        <v>8407.7382630059928</v>
      </c>
      <c r="D37">
        <v>53.095204556754318</v>
      </c>
      <c r="E37">
        <v>4.0862695711507226E-160</v>
      </c>
      <c r="F37">
        <v>429868.76191129786</v>
      </c>
      <c r="G37">
        <v>462952.40395660902</v>
      </c>
      <c r="H37">
        <v>429868.76191129786</v>
      </c>
      <c r="I37">
        <v>462952.40395660902</v>
      </c>
    </row>
    <row r="38" spans="1:9" ht="17" thickBot="1">
      <c r="A38" s="4" t="s">
        <v>5</v>
      </c>
      <c r="B38" s="4">
        <v>35.678031072640458</v>
      </c>
      <c r="C38" s="4">
        <v>1.1973782890340821</v>
      </c>
      <c r="D38" s="4">
        <v>29.796791372776362</v>
      </c>
      <c r="E38" s="4">
        <v>4.7503615090054677E-94</v>
      </c>
      <c r="F38" s="4">
        <v>33.322246825554025</v>
      </c>
      <c r="G38" s="4">
        <v>38.033815319726891</v>
      </c>
      <c r="H38" s="4">
        <v>33.322246825554025</v>
      </c>
      <c r="I38" s="4">
        <v>38.033815319726891</v>
      </c>
    </row>
    <row r="41" spans="1:9">
      <c r="A41" s="7" t="s">
        <v>110</v>
      </c>
      <c r="D41" t="s">
        <v>134</v>
      </c>
    </row>
    <row r="42" spans="1:9" ht="17" thickBot="1"/>
    <row r="43" spans="1:9">
      <c r="A43" s="6" t="s">
        <v>111</v>
      </c>
      <c r="B43" s="6"/>
    </row>
    <row r="44" spans="1:9">
      <c r="A44" t="s">
        <v>112</v>
      </c>
      <c r="B44">
        <v>9.1052199448449889E-2</v>
      </c>
    </row>
    <row r="45" spans="1:9">
      <c r="A45" t="s">
        <v>113</v>
      </c>
      <c r="B45">
        <v>8.2905030244002989E-3</v>
      </c>
    </row>
    <row r="46" spans="1:9">
      <c r="A46" t="s">
        <v>114</v>
      </c>
      <c r="B46">
        <v>5.171919700577658E-3</v>
      </c>
    </row>
    <row r="47" spans="1:9">
      <c r="A47" t="s">
        <v>115</v>
      </c>
      <c r="B47">
        <v>103502.94470614102</v>
      </c>
    </row>
    <row r="48" spans="1:9" ht="17" thickBot="1">
      <c r="A48" s="4" t="s">
        <v>116</v>
      </c>
      <c r="B48" s="4">
        <v>320</v>
      </c>
    </row>
    <row r="50" spans="1:9" ht="17" thickBot="1">
      <c r="A50" t="s">
        <v>117</v>
      </c>
    </row>
    <row r="51" spans="1:9">
      <c r="A51" s="5"/>
      <c r="B51" s="5" t="s">
        <v>121</v>
      </c>
      <c r="C51" s="5" t="s">
        <v>122</v>
      </c>
      <c r="D51" s="5" t="s">
        <v>123</v>
      </c>
      <c r="E51" s="5" t="s">
        <v>124</v>
      </c>
      <c r="F51" s="5" t="s">
        <v>125</v>
      </c>
    </row>
    <row r="52" spans="1:9">
      <c r="A52" t="s">
        <v>118</v>
      </c>
      <c r="B52">
        <v>1</v>
      </c>
      <c r="C52">
        <v>28479275806.828613</v>
      </c>
      <c r="D52">
        <v>28479275806.828613</v>
      </c>
      <c r="E52">
        <v>2.658419597472264</v>
      </c>
      <c r="F52">
        <v>0.10399304641903476</v>
      </c>
    </row>
    <row r="53" spans="1:9">
      <c r="A53" t="s">
        <v>119</v>
      </c>
      <c r="B53">
        <v>318</v>
      </c>
      <c r="C53">
        <v>3406689340983.9106</v>
      </c>
      <c r="D53">
        <v>10712859562.842485</v>
      </c>
    </row>
    <row r="54" spans="1:9" ht="17" thickBot="1">
      <c r="A54" s="4" t="s">
        <v>120</v>
      </c>
      <c r="B54" s="4">
        <v>319</v>
      </c>
      <c r="C54" s="4">
        <v>3435168616790.7393</v>
      </c>
      <c r="D54" s="4"/>
      <c r="E54" s="4"/>
      <c r="F54" s="4"/>
    </row>
    <row r="55" spans="1:9" ht="17" thickBot="1"/>
    <row r="56" spans="1:9">
      <c r="A56" s="5"/>
      <c r="B56" s="5" t="s">
        <v>126</v>
      </c>
      <c r="C56" s="5" t="s">
        <v>115</v>
      </c>
      <c r="D56" s="5" t="s">
        <v>127</v>
      </c>
      <c r="E56" s="5" t="s">
        <v>128</v>
      </c>
      <c r="F56" s="5" t="s">
        <v>129</v>
      </c>
      <c r="G56" s="5" t="s">
        <v>130</v>
      </c>
      <c r="H56" s="5" t="s">
        <v>131</v>
      </c>
      <c r="I56" s="5" t="s">
        <v>132</v>
      </c>
    </row>
    <row r="57" spans="1:9">
      <c r="A57" t="s">
        <v>109</v>
      </c>
      <c r="B57">
        <v>697835.62958654074</v>
      </c>
      <c r="C57">
        <v>12035.418765239492</v>
      </c>
      <c r="D57">
        <v>57.981832057395351</v>
      </c>
      <c r="E57">
        <v>3.8725943752004609E-171</v>
      </c>
      <c r="F57">
        <v>674156.52149354888</v>
      </c>
      <c r="G57">
        <v>721514.73767953261</v>
      </c>
      <c r="H57">
        <v>674156.52149354888</v>
      </c>
      <c r="I57">
        <v>721514.73767953261</v>
      </c>
    </row>
    <row r="58" spans="1:9" ht="17" thickBot="1">
      <c r="A58" s="4" t="s">
        <v>6</v>
      </c>
      <c r="B58" s="4">
        <v>-138730.45471638071</v>
      </c>
      <c r="C58" s="4">
        <v>85086.379579668472</v>
      </c>
      <c r="D58" s="4">
        <v>-1.6304660675623643</v>
      </c>
      <c r="E58" s="4">
        <v>0.10399304641903374</v>
      </c>
      <c r="F58" s="4">
        <v>-306133.81795682968</v>
      </c>
      <c r="G58" s="4">
        <v>28672.908524068229</v>
      </c>
      <c r="H58" s="4">
        <v>-306133.81795682968</v>
      </c>
      <c r="I58" s="4">
        <v>28672.908524068229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7510-8AEA-2346-9910-7BD658E74545}">
  <dimension ref="A1:I29"/>
  <sheetViews>
    <sheetView workbookViewId="0">
      <selection activeCell="L18" sqref="L18"/>
    </sheetView>
  </sheetViews>
  <sheetFormatPr baseColWidth="10" defaultRowHeight="16"/>
  <sheetData>
    <row r="1" spans="1:9">
      <c r="A1" t="s">
        <v>110</v>
      </c>
    </row>
    <row r="2" spans="1:9" ht="17" thickBot="1"/>
    <row r="3" spans="1:9">
      <c r="A3" s="6" t="s">
        <v>111</v>
      </c>
      <c r="B3" s="6"/>
    </row>
    <row r="4" spans="1:9">
      <c r="A4" t="s">
        <v>112</v>
      </c>
      <c r="B4">
        <v>0.9134132872365488</v>
      </c>
    </row>
    <row r="5" spans="1:9">
      <c r="A5" t="s">
        <v>113</v>
      </c>
      <c r="B5">
        <v>0.83432383330027793</v>
      </c>
    </row>
    <row r="6" spans="1:9">
      <c r="A6" t="s">
        <v>114</v>
      </c>
      <c r="B6">
        <v>0.82784789193090769</v>
      </c>
    </row>
    <row r="7" spans="1:9">
      <c r="A7" t="s">
        <v>115</v>
      </c>
      <c r="B7">
        <v>43056.117022088642</v>
      </c>
    </row>
    <row r="8" spans="1:9" ht="17" thickBot="1">
      <c r="A8" s="4" t="s">
        <v>116</v>
      </c>
      <c r="B8" s="4">
        <v>320</v>
      </c>
    </row>
    <row r="10" spans="1:9" ht="17" thickBot="1">
      <c r="A10" t="s">
        <v>117</v>
      </c>
    </row>
    <row r="11" spans="1:9">
      <c r="A11" s="5"/>
      <c r="B11" s="5" t="s">
        <v>121</v>
      </c>
      <c r="C11" s="5" t="s">
        <v>122</v>
      </c>
      <c r="D11" s="5" t="s">
        <v>123</v>
      </c>
      <c r="E11" s="5" t="s">
        <v>124</v>
      </c>
      <c r="F11" s="5" t="s">
        <v>125</v>
      </c>
    </row>
    <row r="12" spans="1:9">
      <c r="A12" t="s">
        <v>118</v>
      </c>
      <c r="B12">
        <v>12</v>
      </c>
      <c r="C12">
        <v>2866043048393.6631</v>
      </c>
      <c r="D12">
        <v>238836920699.47192</v>
      </c>
      <c r="E12">
        <v>128.83437105320991</v>
      </c>
      <c r="F12">
        <v>4.5623337475845444E-112</v>
      </c>
    </row>
    <row r="13" spans="1:9">
      <c r="A13" t="s">
        <v>119</v>
      </c>
      <c r="B13">
        <v>307</v>
      </c>
      <c r="C13">
        <v>569125568397.07593</v>
      </c>
      <c r="D13">
        <v>1853829213.0197914</v>
      </c>
    </row>
    <row r="14" spans="1:9" ht="17" thickBot="1">
      <c r="A14" s="4" t="s">
        <v>120</v>
      </c>
      <c r="B14" s="4">
        <v>319</v>
      </c>
      <c r="C14" s="4">
        <v>3435168616790.7393</v>
      </c>
      <c r="D14" s="4"/>
      <c r="E14" s="4"/>
      <c r="F14" s="4"/>
    </row>
    <row r="15" spans="1:9" ht="17" thickBot="1"/>
    <row r="16" spans="1:9">
      <c r="A16" s="5"/>
      <c r="B16" s="5" t="s">
        <v>126</v>
      </c>
      <c r="C16" s="5" t="s">
        <v>115</v>
      </c>
      <c r="D16" s="5" t="s">
        <v>127</v>
      </c>
      <c r="E16" s="5" t="s">
        <v>128</v>
      </c>
      <c r="F16" s="5" t="s">
        <v>129</v>
      </c>
      <c r="G16" s="5" t="s">
        <v>130</v>
      </c>
      <c r="H16" s="5" t="s">
        <v>131</v>
      </c>
      <c r="I16" s="5" t="s">
        <v>132</v>
      </c>
    </row>
    <row r="17" spans="1:9">
      <c r="A17" t="s">
        <v>109</v>
      </c>
      <c r="B17">
        <v>48902.80147595454</v>
      </c>
      <c r="C17">
        <v>47853.293934700712</v>
      </c>
      <c r="D17">
        <v>1.02193177219286</v>
      </c>
      <c r="E17">
        <v>0.30761779749000917</v>
      </c>
      <c r="F17">
        <v>-45259.14370771782</v>
      </c>
      <c r="G17">
        <v>143064.74665962689</v>
      </c>
      <c r="H17">
        <v>-45259.14370771782</v>
      </c>
      <c r="I17">
        <v>143064.74665962689</v>
      </c>
    </row>
    <row r="18" spans="1:9">
      <c r="A18" t="s">
        <v>4</v>
      </c>
      <c r="B18">
        <v>1.191643748585439</v>
      </c>
      <c r="C18">
        <v>0.12513639696274317</v>
      </c>
      <c r="D18">
        <v>9.5227589854630921</v>
      </c>
      <c r="E18">
        <v>5.2626565594328516E-19</v>
      </c>
      <c r="F18">
        <v>0.94541019635877377</v>
      </c>
      <c r="G18">
        <v>1.4378773008121042</v>
      </c>
      <c r="H18">
        <v>0.94541019635877377</v>
      </c>
      <c r="I18">
        <v>1.4378773008121042</v>
      </c>
    </row>
    <row r="19" spans="1:9">
      <c r="A19" t="s">
        <v>5</v>
      </c>
      <c r="B19">
        <v>33.648052209133077</v>
      </c>
      <c r="C19">
        <v>1.0222225133374361</v>
      </c>
      <c r="D19">
        <v>32.916563439085436</v>
      </c>
      <c r="E19">
        <v>1.0251253439564168E-102</v>
      </c>
      <c r="F19">
        <v>31.636603208407198</v>
      </c>
      <c r="G19">
        <v>35.659501209858952</v>
      </c>
      <c r="H19">
        <v>31.636603208407198</v>
      </c>
      <c r="I19">
        <v>35.659501209858952</v>
      </c>
    </row>
    <row r="20" spans="1:9">
      <c r="A20" t="s">
        <v>6</v>
      </c>
      <c r="B20">
        <v>-47714.012716704252</v>
      </c>
      <c r="C20">
        <v>36269.630709308774</v>
      </c>
      <c r="D20">
        <v>-1.3155362153841346</v>
      </c>
      <c r="E20">
        <v>0.18931135917240871</v>
      </c>
      <c r="F20">
        <v>-119082.53717694906</v>
      </c>
      <c r="G20">
        <v>23654.511743540559</v>
      </c>
      <c r="H20">
        <v>-119082.53717694906</v>
      </c>
      <c r="I20">
        <v>23654.511743540559</v>
      </c>
    </row>
    <row r="21" spans="1:9">
      <c r="A21" t="s">
        <v>8</v>
      </c>
      <c r="B21">
        <v>3060.0215223075543</v>
      </c>
      <c r="C21">
        <v>456.61826598530291</v>
      </c>
      <c r="D21">
        <v>6.7014873259714198</v>
      </c>
      <c r="E21">
        <v>9.8726455644737263E-11</v>
      </c>
      <c r="F21">
        <v>2161.5240397676298</v>
      </c>
      <c r="G21">
        <v>3958.5190048474788</v>
      </c>
      <c r="H21">
        <v>2161.5240397676298</v>
      </c>
      <c r="I21">
        <v>3958.5190048474788</v>
      </c>
    </row>
    <row r="22" spans="1:9">
      <c r="A22" t="s">
        <v>11</v>
      </c>
      <c r="B22">
        <v>12599.548111050517</v>
      </c>
      <c r="C22">
        <v>4767.0798306303341</v>
      </c>
      <c r="D22">
        <v>2.6430327493350418</v>
      </c>
      <c r="E22">
        <v>8.6383459854891664E-3</v>
      </c>
      <c r="F22">
        <v>3219.2636459825635</v>
      </c>
      <c r="G22">
        <v>21979.832576118471</v>
      </c>
      <c r="H22">
        <v>3219.2636459825635</v>
      </c>
      <c r="I22">
        <v>21979.832576118471</v>
      </c>
    </row>
    <row r="23" spans="1:9">
      <c r="A23" t="s">
        <v>10</v>
      </c>
      <c r="B23">
        <v>13910.893288928033</v>
      </c>
      <c r="C23">
        <v>6563.7132490887561</v>
      </c>
      <c r="D23">
        <v>2.1193633483088692</v>
      </c>
      <c r="E23">
        <v>3.4862206670707573E-2</v>
      </c>
      <c r="F23">
        <v>995.33499934788017</v>
      </c>
      <c r="G23">
        <v>26826.451578508186</v>
      </c>
      <c r="H23">
        <v>995.33499934788017</v>
      </c>
      <c r="I23">
        <v>26826.451578508186</v>
      </c>
    </row>
    <row r="24" spans="1:9">
      <c r="A24" t="s">
        <v>102</v>
      </c>
      <c r="B24">
        <v>6379.1936432746888</v>
      </c>
      <c r="C24">
        <v>6995.3429431379418</v>
      </c>
      <c r="D24">
        <v>0.91192007241508255</v>
      </c>
      <c r="E24">
        <v>0.36252630871653357</v>
      </c>
      <c r="F24">
        <v>-7385.6915838860859</v>
      </c>
      <c r="G24">
        <v>20144.078870435464</v>
      </c>
      <c r="H24">
        <v>-7385.6915838860859</v>
      </c>
      <c r="I24">
        <v>20144.078870435464</v>
      </c>
    </row>
    <row r="25" spans="1:9">
      <c r="A25" t="s">
        <v>103</v>
      </c>
      <c r="B25">
        <v>18875.589266719846</v>
      </c>
      <c r="C25">
        <v>7103.6056239263598</v>
      </c>
      <c r="D25">
        <v>2.6571842900657519</v>
      </c>
      <c r="E25">
        <v>8.2918960743357892E-3</v>
      </c>
      <c r="F25">
        <v>4897.673257858919</v>
      </c>
      <c r="G25">
        <v>32853.50527558077</v>
      </c>
      <c r="H25">
        <v>4897.673257858919</v>
      </c>
      <c r="I25">
        <v>32853.50527558077</v>
      </c>
    </row>
    <row r="26" spans="1:9">
      <c r="A26" t="s">
        <v>104</v>
      </c>
      <c r="B26">
        <v>19293.729526716041</v>
      </c>
      <c r="C26">
        <v>6245.9723536856263</v>
      </c>
      <c r="D26">
        <v>3.0889873400306018</v>
      </c>
      <c r="E26">
        <v>2.1920902844818554E-3</v>
      </c>
      <c r="F26">
        <v>7003.3967611382113</v>
      </c>
      <c r="G26">
        <v>31584.062292293871</v>
      </c>
      <c r="H26">
        <v>7003.3967611382113</v>
      </c>
      <c r="I26">
        <v>31584.062292293871</v>
      </c>
    </row>
    <row r="27" spans="1:9">
      <c r="A27" t="s">
        <v>105</v>
      </c>
      <c r="B27">
        <v>41615.603652218291</v>
      </c>
      <c r="C27">
        <v>9376.0107878878316</v>
      </c>
      <c r="D27">
        <v>4.4385191734184417</v>
      </c>
      <c r="E27">
        <v>1.2645690047950755E-5</v>
      </c>
      <c r="F27">
        <v>23166.227626915919</v>
      </c>
      <c r="G27">
        <v>60064.979677520663</v>
      </c>
      <c r="H27">
        <v>23166.227626915919</v>
      </c>
      <c r="I27">
        <v>60064.979677520663</v>
      </c>
    </row>
    <row r="28" spans="1:9">
      <c r="A28" t="s">
        <v>106</v>
      </c>
      <c r="B28">
        <v>18404.229807552445</v>
      </c>
      <c r="C28">
        <v>5956.8392107227492</v>
      </c>
      <c r="D28">
        <v>3.0895965387857838</v>
      </c>
      <c r="E28">
        <v>2.1877365272202267E-3</v>
      </c>
      <c r="F28">
        <v>6682.8304824939723</v>
      </c>
      <c r="G28">
        <v>30125.629132610917</v>
      </c>
      <c r="H28">
        <v>6682.8304824939723</v>
      </c>
      <c r="I28">
        <v>30125.629132610917</v>
      </c>
    </row>
    <row r="29" spans="1:9" ht="17" thickBot="1">
      <c r="A29" s="4" t="s">
        <v>107</v>
      </c>
      <c r="B29" s="4">
        <v>29423.226633686747</v>
      </c>
      <c r="C29" s="4">
        <v>6584.3866847074905</v>
      </c>
      <c r="D29" s="4">
        <v>4.4686358870786558</v>
      </c>
      <c r="E29" s="4">
        <v>1.1084291448374518E-5</v>
      </c>
      <c r="F29" s="4">
        <v>16466.988784740297</v>
      </c>
      <c r="G29" s="4">
        <v>42379.464482633193</v>
      </c>
      <c r="H29" s="4">
        <v>16466.988784740297</v>
      </c>
      <c r="I29" s="4">
        <v>42379.464482633193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7991-A435-7B46-9930-F574A463D8BE}">
  <dimension ref="A1:M321"/>
  <sheetViews>
    <sheetView workbookViewId="0">
      <selection activeCell="E28" sqref="E28"/>
    </sheetView>
  </sheetViews>
  <sheetFormatPr baseColWidth="10" defaultRowHeight="16"/>
  <cols>
    <col min="1" max="1" width="13.5" customWidth="1"/>
    <col min="2" max="2" width="15.6640625" customWidth="1"/>
    <col min="4" max="4" width="16" customWidth="1"/>
    <col min="5" max="5" width="22.6640625" customWidth="1"/>
    <col min="8" max="8" width="13" customWidth="1"/>
    <col min="9" max="9" width="14.33203125" customWidth="1"/>
    <col min="10" max="10" width="15.1640625" customWidth="1"/>
    <col min="11" max="11" width="19.5" customWidth="1"/>
    <col min="12" max="12" width="20.6640625" customWidth="1"/>
    <col min="13" max="13" width="19.6640625" customWidth="1"/>
  </cols>
  <sheetData>
    <row r="1" spans="1:13">
      <c r="A1" t="s">
        <v>12</v>
      </c>
      <c r="B1" t="s">
        <v>4</v>
      </c>
      <c r="C1" t="s">
        <v>5</v>
      </c>
      <c r="D1" t="s">
        <v>6</v>
      </c>
      <c r="E1" t="s">
        <v>8</v>
      </c>
      <c r="F1" t="s">
        <v>11</v>
      </c>
      <c r="G1" t="s">
        <v>10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 spans="1:13">
      <c r="A2">
        <f>cleaned_data!M2</f>
        <v>658832.62</v>
      </c>
      <c r="B2">
        <f>cleaned_data!E2</f>
        <v>70389.11</v>
      </c>
      <c r="C2">
        <f>cleaned_data!F2</f>
        <v>8302</v>
      </c>
      <c r="D2">
        <f>cleaned_data!G2</f>
        <v>4.2000000000000003E-2</v>
      </c>
      <c r="E2">
        <f>cleaned_data!I2</f>
        <v>75</v>
      </c>
      <c r="F2">
        <f>cleaned_data!L2</f>
        <v>3.1</v>
      </c>
      <c r="G2">
        <f>cleaned_data!K2</f>
        <v>1</v>
      </c>
      <c r="H2">
        <f>dummy_variables!F2</f>
        <v>0</v>
      </c>
      <c r="I2">
        <f>dummy_variables!G2</f>
        <v>0</v>
      </c>
      <c r="J2">
        <f>dummy_variables!H2</f>
        <v>0</v>
      </c>
      <c r="K2">
        <f>dummy_variables!I2</f>
        <v>0</v>
      </c>
      <c r="L2">
        <f>dummy_variables!J2</f>
        <v>0</v>
      </c>
      <c r="M2">
        <f>dummy_variables!K2</f>
        <v>0</v>
      </c>
    </row>
    <row r="3" spans="1:13">
      <c r="A3">
        <f>cleaned_data!M3</f>
        <v>634436</v>
      </c>
      <c r="B3">
        <f>cleaned_data!E3</f>
        <v>43827.89</v>
      </c>
      <c r="C3">
        <f>cleaned_data!F3</f>
        <v>8487</v>
      </c>
      <c r="D3">
        <f>cleaned_data!G3</f>
        <v>0.16800000000000001</v>
      </c>
      <c r="E3">
        <f>cleaned_data!I3</f>
        <v>84.4</v>
      </c>
      <c r="F3">
        <f>cleaned_data!L3</f>
        <v>2.8</v>
      </c>
      <c r="G3">
        <f>cleaned_data!K3</f>
        <v>0</v>
      </c>
      <c r="H3">
        <f>dummy_variables!F3</f>
        <v>0</v>
      </c>
      <c r="I3">
        <f>dummy_variables!G3</f>
        <v>0</v>
      </c>
      <c r="J3">
        <f>dummy_variables!H3</f>
        <v>0</v>
      </c>
      <c r="K3">
        <f>dummy_variables!I3</f>
        <v>0</v>
      </c>
      <c r="L3">
        <f>dummy_variables!J3</f>
        <v>0</v>
      </c>
      <c r="M3">
        <f>dummy_variables!K3</f>
        <v>0</v>
      </c>
    </row>
    <row r="4" spans="1:13">
      <c r="A4">
        <f>cleaned_data!M4</f>
        <v>678722.06</v>
      </c>
      <c r="B4">
        <f>cleaned_data!E4</f>
        <v>59921.75</v>
      </c>
      <c r="C4">
        <f>cleaned_data!F4</f>
        <v>9113</v>
      </c>
      <c r="D4">
        <f>cleaned_data!G4</f>
        <v>0.13300000000000001</v>
      </c>
      <c r="E4">
        <f>cleaned_data!I4</f>
        <v>88</v>
      </c>
      <c r="F4">
        <f>cleaned_data!L4</f>
        <v>3.2</v>
      </c>
      <c r="G4">
        <f>cleaned_data!K4</f>
        <v>0</v>
      </c>
      <c r="H4">
        <f>dummy_variables!F4</f>
        <v>0</v>
      </c>
      <c r="I4">
        <f>dummy_variables!G4</f>
        <v>0</v>
      </c>
      <c r="J4">
        <f>dummy_variables!H4</f>
        <v>0</v>
      </c>
      <c r="K4">
        <f>dummy_variables!I4</f>
        <v>0</v>
      </c>
      <c r="L4">
        <f>dummy_variables!J4</f>
        <v>0</v>
      </c>
      <c r="M4">
        <f>dummy_variables!K4</f>
        <v>0</v>
      </c>
    </row>
    <row r="5" spans="1:13">
      <c r="A5">
        <f>cleaned_data!M5</f>
        <v>658920.30000000005</v>
      </c>
      <c r="B5">
        <f>cleaned_data!E5</f>
        <v>56856.63</v>
      </c>
      <c r="C5">
        <f>cleaned_data!F5</f>
        <v>9431</v>
      </c>
      <c r="D5">
        <f>cleaned_data!G5</f>
        <v>0.14199999999999999</v>
      </c>
      <c r="E5">
        <f>cleaned_data!I5</f>
        <v>86.9</v>
      </c>
      <c r="F5">
        <f>cleaned_data!L5</f>
        <v>3.4</v>
      </c>
      <c r="G5">
        <f>cleaned_data!K5</f>
        <v>0</v>
      </c>
      <c r="H5">
        <f>dummy_variables!F5</f>
        <v>0</v>
      </c>
      <c r="I5">
        <f>dummy_variables!G5</f>
        <v>0</v>
      </c>
      <c r="J5">
        <f>dummy_variables!H5</f>
        <v>0</v>
      </c>
      <c r="K5">
        <f>dummy_variables!I5</f>
        <v>0</v>
      </c>
      <c r="L5">
        <f>dummy_variables!J5</f>
        <v>0</v>
      </c>
      <c r="M5">
        <f>dummy_variables!K5</f>
        <v>0</v>
      </c>
    </row>
    <row r="6" spans="1:13">
      <c r="A6">
        <f>cleaned_data!M6</f>
        <v>741341.44</v>
      </c>
      <c r="B6">
        <f>cleaned_data!E6</f>
        <v>48412.639999999999</v>
      </c>
      <c r="C6">
        <f>cleaned_data!F6</f>
        <v>9545</v>
      </c>
      <c r="D6">
        <f>cleaned_data!G6</f>
        <v>0.23100000000000001</v>
      </c>
      <c r="E6">
        <f>cleaned_data!I6</f>
        <v>97.6</v>
      </c>
      <c r="F6">
        <f>cleaned_data!L6</f>
        <v>4.2</v>
      </c>
      <c r="G6">
        <f>cleaned_data!K6</f>
        <v>1</v>
      </c>
      <c r="H6">
        <f>dummy_variables!F6</f>
        <v>0</v>
      </c>
      <c r="I6">
        <f>dummy_variables!G6</f>
        <v>0</v>
      </c>
      <c r="J6">
        <f>dummy_variables!H6</f>
        <v>0</v>
      </c>
      <c r="K6">
        <f>dummy_variables!I6</f>
        <v>0</v>
      </c>
      <c r="L6">
        <f>dummy_variables!J6</f>
        <v>1</v>
      </c>
      <c r="M6">
        <f>dummy_variables!K6</f>
        <v>0</v>
      </c>
    </row>
    <row r="7" spans="1:13">
      <c r="A7">
        <f>cleaned_data!M7</f>
        <v>761835.34</v>
      </c>
      <c r="B7">
        <f>cleaned_data!E7</f>
        <v>64811.21</v>
      </c>
      <c r="C7">
        <f>cleaned_data!F7</f>
        <v>9792</v>
      </c>
      <c r="D7">
        <f>cleaned_data!G7</f>
        <v>0.112</v>
      </c>
      <c r="E7">
        <f>cleaned_data!I7</f>
        <v>84.2</v>
      </c>
      <c r="F7">
        <f>cleaned_data!L7</f>
        <v>4.2</v>
      </c>
      <c r="G7">
        <f>cleaned_data!K7</f>
        <v>0</v>
      </c>
      <c r="H7">
        <f>dummy_variables!F7</f>
        <v>0</v>
      </c>
      <c r="I7">
        <f>dummy_variables!G7</f>
        <v>0</v>
      </c>
      <c r="J7">
        <f>dummy_variables!H7</f>
        <v>0</v>
      </c>
      <c r="K7">
        <f>dummy_variables!I7</f>
        <v>0</v>
      </c>
      <c r="L7">
        <f>dummy_variables!J7</f>
        <v>1</v>
      </c>
      <c r="M7">
        <f>dummy_variables!K7</f>
        <v>0</v>
      </c>
    </row>
    <row r="8" spans="1:13">
      <c r="A8">
        <f>cleaned_data!M8</f>
        <v>806615.54</v>
      </c>
      <c r="B8">
        <f>cleaned_data!E8</f>
        <v>46213.45</v>
      </c>
      <c r="C8">
        <f>cleaned_data!F8</f>
        <v>10616</v>
      </c>
      <c r="D8">
        <f>cleaned_data!G8</f>
        <v>0.122</v>
      </c>
      <c r="E8">
        <f>cleaned_data!I8</f>
        <v>85.2</v>
      </c>
      <c r="F8">
        <f>cleaned_data!L8</f>
        <v>4.0999999999999996</v>
      </c>
      <c r="G8">
        <f>cleaned_data!K8</f>
        <v>1</v>
      </c>
      <c r="H8">
        <f>dummy_variables!F8</f>
        <v>0</v>
      </c>
      <c r="I8">
        <f>dummy_variables!G8</f>
        <v>0</v>
      </c>
      <c r="J8">
        <f>dummy_variables!H8</f>
        <v>0</v>
      </c>
      <c r="K8">
        <f>dummy_variables!I8</f>
        <v>0</v>
      </c>
      <c r="L8">
        <f>dummy_variables!J8</f>
        <v>1</v>
      </c>
      <c r="M8">
        <f>dummy_variables!K8</f>
        <v>0</v>
      </c>
    </row>
    <row r="9" spans="1:13">
      <c r="A9">
        <f>cleaned_data!M9</f>
        <v>850164.26</v>
      </c>
      <c r="B9">
        <f>cleaned_data!E9</f>
        <v>68148.52</v>
      </c>
      <c r="C9">
        <f>cleaned_data!F9</f>
        <v>8567</v>
      </c>
      <c r="D9">
        <f>cleaned_data!G9</f>
        <v>0.127</v>
      </c>
      <c r="E9">
        <f>cleaned_data!I9</f>
        <v>95.6</v>
      </c>
      <c r="F9">
        <f>cleaned_data!L9</f>
        <v>3.9</v>
      </c>
      <c r="G9">
        <f>cleaned_data!K9</f>
        <v>0</v>
      </c>
      <c r="H9">
        <f>dummy_variables!F9</f>
        <v>0</v>
      </c>
      <c r="I9">
        <f>dummy_variables!G9</f>
        <v>0</v>
      </c>
      <c r="J9">
        <f>dummy_variables!H9</f>
        <v>0</v>
      </c>
      <c r="K9">
        <f>dummy_variables!I9</f>
        <v>0</v>
      </c>
      <c r="L9">
        <f>dummy_variables!J9</f>
        <v>1</v>
      </c>
      <c r="M9">
        <f>dummy_variables!K9</f>
        <v>0</v>
      </c>
    </row>
    <row r="10" spans="1:13">
      <c r="A10">
        <f>cleaned_data!M10</f>
        <v>930581.7</v>
      </c>
      <c r="B10">
        <f>cleaned_data!E10</f>
        <v>71838.86</v>
      </c>
      <c r="C10">
        <f>cleaned_data!F10</f>
        <v>10979</v>
      </c>
      <c r="D10">
        <f>cleaned_data!G10</f>
        <v>0.215</v>
      </c>
      <c r="E10">
        <f>cleaned_data!I10</f>
        <v>88.6</v>
      </c>
      <c r="F10">
        <f>cleaned_data!L10</f>
        <v>3.8</v>
      </c>
      <c r="G10">
        <f>cleaned_data!K10</f>
        <v>1</v>
      </c>
      <c r="H10">
        <f>dummy_variables!F10</f>
        <v>1</v>
      </c>
      <c r="I10">
        <f>dummy_variables!G10</f>
        <v>0</v>
      </c>
      <c r="J10">
        <f>dummy_variables!H10</f>
        <v>0</v>
      </c>
      <c r="K10">
        <f>dummy_variables!I10</f>
        <v>1</v>
      </c>
      <c r="L10">
        <f>dummy_variables!J10</f>
        <v>0</v>
      </c>
      <c r="M10">
        <f>dummy_variables!K10</f>
        <v>0</v>
      </c>
    </row>
    <row r="11" spans="1:13">
      <c r="A11">
        <f>cleaned_data!M11</f>
        <v>779010.94</v>
      </c>
      <c r="B11">
        <f>cleaned_data!E11</f>
        <v>68133.440000000002</v>
      </c>
      <c r="C11">
        <f>cleaned_data!F11</f>
        <v>9459</v>
      </c>
      <c r="D11">
        <f>cleaned_data!G11</f>
        <v>0.22</v>
      </c>
      <c r="E11">
        <f>cleaned_data!I11</f>
        <v>85</v>
      </c>
      <c r="F11">
        <f>cleaned_data!L11</f>
        <v>4.2</v>
      </c>
      <c r="G11">
        <f>cleaned_data!K11</f>
        <v>0</v>
      </c>
      <c r="H11">
        <f>dummy_variables!F11</f>
        <v>1</v>
      </c>
      <c r="I11">
        <f>dummy_variables!G11</f>
        <v>0</v>
      </c>
      <c r="J11">
        <f>dummy_variables!H11</f>
        <v>0</v>
      </c>
      <c r="K11">
        <f>dummy_variables!I11</f>
        <v>1</v>
      </c>
      <c r="L11">
        <f>dummy_variables!J11</f>
        <v>0</v>
      </c>
      <c r="M11">
        <f>dummy_variables!K11</f>
        <v>0</v>
      </c>
    </row>
    <row r="12" spans="1:13">
      <c r="A12">
        <f>cleaned_data!M12</f>
        <v>723060.76</v>
      </c>
      <c r="B12">
        <f>cleaned_data!E12</f>
        <v>34285.21</v>
      </c>
      <c r="C12">
        <f>cleaned_data!F12</f>
        <v>9172</v>
      </c>
      <c r="D12">
        <f>cleaned_data!G12</f>
        <v>0.21299999999999999</v>
      </c>
      <c r="E12">
        <f>cleaned_data!I12</f>
        <v>88.3</v>
      </c>
      <c r="F12">
        <f>cleaned_data!L12</f>
        <v>3.8</v>
      </c>
      <c r="G12">
        <f>cleaned_data!K12</f>
        <v>1</v>
      </c>
      <c r="H12">
        <f>dummy_variables!F12</f>
        <v>1</v>
      </c>
      <c r="I12">
        <f>dummy_variables!G12</f>
        <v>0</v>
      </c>
      <c r="J12">
        <f>dummy_variables!H12</f>
        <v>0</v>
      </c>
      <c r="K12">
        <f>dummy_variables!I12</f>
        <v>1</v>
      </c>
      <c r="L12">
        <f>dummy_variables!J12</f>
        <v>0</v>
      </c>
      <c r="M12">
        <f>dummy_variables!K12</f>
        <v>0</v>
      </c>
    </row>
    <row r="13" spans="1:13">
      <c r="A13">
        <f>cleaned_data!M13</f>
        <v>910791.94</v>
      </c>
      <c r="B13">
        <f>cleaned_data!E13</f>
        <v>67979.88</v>
      </c>
      <c r="C13">
        <f>cleaned_data!F13</f>
        <v>11230</v>
      </c>
      <c r="D13">
        <f>cleaned_data!G13</f>
        <v>2E-3</v>
      </c>
      <c r="E13">
        <f>cleaned_data!I13</f>
        <v>85.3</v>
      </c>
      <c r="F13">
        <f>cleaned_data!L13</f>
        <v>3.8</v>
      </c>
      <c r="G13">
        <f>cleaned_data!K13</f>
        <v>0</v>
      </c>
      <c r="H13">
        <f>dummy_variables!F13</f>
        <v>1</v>
      </c>
      <c r="I13">
        <f>dummy_variables!G13</f>
        <v>0</v>
      </c>
      <c r="J13">
        <f>dummy_variables!H13</f>
        <v>0</v>
      </c>
      <c r="K13">
        <f>dummy_variables!I13</f>
        <v>1</v>
      </c>
      <c r="L13">
        <f>dummy_variables!J13</f>
        <v>0</v>
      </c>
      <c r="M13">
        <f>dummy_variables!K13</f>
        <v>0</v>
      </c>
    </row>
    <row r="14" spans="1:13">
      <c r="A14">
        <f>cleaned_data!M14</f>
        <v>922168.6</v>
      </c>
      <c r="B14">
        <f>cleaned_data!E14</f>
        <v>71828.259999999995</v>
      </c>
      <c r="C14">
        <f>cleaned_data!F14</f>
        <v>12775</v>
      </c>
      <c r="D14">
        <f>cleaned_data!G14</f>
        <v>0.11600000000000001</v>
      </c>
      <c r="E14">
        <f>cleaned_data!I14</f>
        <v>81.7</v>
      </c>
      <c r="F14">
        <f>cleaned_data!L14</f>
        <v>4.2</v>
      </c>
      <c r="G14">
        <f>cleaned_data!K14</f>
        <v>1</v>
      </c>
      <c r="H14">
        <f>dummy_variables!F14</f>
        <v>0</v>
      </c>
      <c r="I14">
        <f>dummy_variables!G14</f>
        <v>0</v>
      </c>
      <c r="J14">
        <f>dummy_variables!H14</f>
        <v>0</v>
      </c>
      <c r="K14">
        <f>dummy_variables!I14</f>
        <v>0</v>
      </c>
      <c r="L14">
        <f>dummy_variables!J14</f>
        <v>0</v>
      </c>
      <c r="M14">
        <f>dummy_variables!K14</f>
        <v>0</v>
      </c>
    </row>
    <row r="15" spans="1:13">
      <c r="A15">
        <f>cleaned_data!M15</f>
        <v>726606.28</v>
      </c>
      <c r="B15">
        <f>cleaned_data!E15</f>
        <v>55716.82</v>
      </c>
      <c r="C15">
        <f>cleaned_data!F15</f>
        <v>10054</v>
      </c>
      <c r="D15">
        <f>cleaned_data!G15</f>
        <v>0.14599999999999999</v>
      </c>
      <c r="E15">
        <f>cleaned_data!I15</f>
        <v>84.9</v>
      </c>
      <c r="F15">
        <f>cleaned_data!L15</f>
        <v>4.3</v>
      </c>
      <c r="G15">
        <f>cleaned_data!K15</f>
        <v>0</v>
      </c>
      <c r="H15">
        <f>dummy_variables!F15</f>
        <v>0</v>
      </c>
      <c r="I15">
        <f>dummy_variables!G15</f>
        <v>0</v>
      </c>
      <c r="J15">
        <f>dummy_variables!H15</f>
        <v>0</v>
      </c>
      <c r="K15">
        <f>dummy_variables!I15</f>
        <v>0</v>
      </c>
      <c r="L15">
        <f>dummy_variables!J15</f>
        <v>0</v>
      </c>
      <c r="M15">
        <f>dummy_variables!K15</f>
        <v>0</v>
      </c>
    </row>
    <row r="16" spans="1:13">
      <c r="A16">
        <f>cleaned_data!M16</f>
        <v>746501.09</v>
      </c>
      <c r="B16">
        <f>cleaned_data!E16</f>
        <v>59909.51</v>
      </c>
      <c r="C16">
        <f>cleaned_data!F16</f>
        <v>8895</v>
      </c>
      <c r="D16">
        <f>cleaned_data!G16</f>
        <v>0.22800000000000001</v>
      </c>
      <c r="E16">
        <f>cleaned_data!I16</f>
        <v>88.8</v>
      </c>
      <c r="F16">
        <f>cleaned_data!L16</f>
        <v>4.3</v>
      </c>
      <c r="G16">
        <f>cleaned_data!K16</f>
        <v>0</v>
      </c>
      <c r="H16">
        <f>dummy_variables!F16</f>
        <v>0</v>
      </c>
      <c r="I16">
        <f>dummy_variables!G16</f>
        <v>0</v>
      </c>
      <c r="J16">
        <f>dummy_variables!H16</f>
        <v>0</v>
      </c>
      <c r="K16">
        <f>dummy_variables!I16</f>
        <v>0</v>
      </c>
      <c r="L16">
        <f>dummy_variables!J16</f>
        <v>0</v>
      </c>
      <c r="M16">
        <f>dummy_variables!K16</f>
        <v>0</v>
      </c>
    </row>
    <row r="17" spans="1:13">
      <c r="A17">
        <f>cleaned_data!M17</f>
        <v>834017.02</v>
      </c>
      <c r="B17">
        <f>cleaned_data!E17</f>
        <v>75305.710000000006</v>
      </c>
      <c r="C17">
        <f>cleaned_data!F17</f>
        <v>10940</v>
      </c>
      <c r="D17">
        <f>cleaned_data!G17</f>
        <v>6.0000000000000001E-3</v>
      </c>
      <c r="E17">
        <f>cleaned_data!I17</f>
        <v>76.5</v>
      </c>
      <c r="F17">
        <f>cleaned_data!L17</f>
        <v>4.5</v>
      </c>
      <c r="G17">
        <f>cleaned_data!K17</f>
        <v>0</v>
      </c>
      <c r="H17">
        <f>dummy_variables!F17</f>
        <v>0</v>
      </c>
      <c r="I17">
        <f>dummy_variables!G17</f>
        <v>0</v>
      </c>
      <c r="J17">
        <f>dummy_variables!H17</f>
        <v>0</v>
      </c>
      <c r="K17">
        <f>dummy_variables!I17</f>
        <v>0</v>
      </c>
      <c r="L17">
        <f>dummy_variables!J17</f>
        <v>0</v>
      </c>
      <c r="M17">
        <f>dummy_variables!K17</f>
        <v>0</v>
      </c>
    </row>
    <row r="18" spans="1:13">
      <c r="A18">
        <f>cleaned_data!M18</f>
        <v>666152.52</v>
      </c>
      <c r="B18">
        <f>cleaned_data!E18</f>
        <v>48804.22</v>
      </c>
      <c r="C18">
        <f>cleaned_data!F18</f>
        <v>7057</v>
      </c>
      <c r="D18">
        <f>cleaned_data!G18</f>
        <v>5.0000000000000001E-3</v>
      </c>
      <c r="E18">
        <f>cleaned_data!I18</f>
        <v>87.7</v>
      </c>
      <c r="F18">
        <f>cleaned_data!L18</f>
        <v>3.7</v>
      </c>
      <c r="G18">
        <f>cleaned_data!K18</f>
        <v>0</v>
      </c>
      <c r="H18">
        <f>dummy_variables!F18</f>
        <v>0</v>
      </c>
      <c r="I18">
        <f>dummy_variables!G18</f>
        <v>1</v>
      </c>
      <c r="J18">
        <f>dummy_variables!H18</f>
        <v>0</v>
      </c>
      <c r="K18">
        <f>dummy_variables!I18</f>
        <v>0</v>
      </c>
      <c r="L18">
        <f>dummy_variables!J18</f>
        <v>0</v>
      </c>
      <c r="M18">
        <f>dummy_variables!K18</f>
        <v>0</v>
      </c>
    </row>
    <row r="19" spans="1:13">
      <c r="A19">
        <f>cleaned_data!M19</f>
        <v>573155.18999999994</v>
      </c>
      <c r="B19">
        <f>cleaned_data!E19</f>
        <v>59117.9</v>
      </c>
      <c r="C19">
        <f>cleaned_data!F19</f>
        <v>4263</v>
      </c>
      <c r="D19">
        <f>cleaned_data!G19</f>
        <v>0.11899999999999999</v>
      </c>
      <c r="E19">
        <f>cleaned_data!I19</f>
        <v>87.6</v>
      </c>
      <c r="F19">
        <f>cleaned_data!L19</f>
        <v>3.6</v>
      </c>
      <c r="G19">
        <f>cleaned_data!K19</f>
        <v>0</v>
      </c>
      <c r="H19">
        <f>dummy_variables!F19</f>
        <v>0</v>
      </c>
      <c r="I19">
        <f>dummy_variables!G19</f>
        <v>1</v>
      </c>
      <c r="J19">
        <f>dummy_variables!H19</f>
        <v>0</v>
      </c>
      <c r="K19">
        <f>dummy_variables!I19</f>
        <v>0</v>
      </c>
      <c r="L19">
        <f>dummy_variables!J19</f>
        <v>0</v>
      </c>
      <c r="M19">
        <f>dummy_variables!K19</f>
        <v>0</v>
      </c>
    </row>
    <row r="20" spans="1:13">
      <c r="A20">
        <f>cleaned_data!M20</f>
        <v>666573.19999999995</v>
      </c>
      <c r="B20">
        <f>cleaned_data!E20</f>
        <v>78831.12</v>
      </c>
      <c r="C20">
        <f>cleaned_data!F20</f>
        <v>5538</v>
      </c>
      <c r="D20">
        <f>cleaned_data!G20</f>
        <v>0</v>
      </c>
      <c r="E20">
        <f>cleaned_data!I20</f>
        <v>94.1</v>
      </c>
      <c r="F20">
        <f>cleaned_data!L20</f>
        <v>3.9</v>
      </c>
      <c r="G20">
        <f>cleaned_data!K20</f>
        <v>0</v>
      </c>
      <c r="H20">
        <f>dummy_variables!F20</f>
        <v>0</v>
      </c>
      <c r="I20">
        <f>dummy_variables!G20</f>
        <v>1</v>
      </c>
      <c r="J20">
        <f>dummy_variables!H20</f>
        <v>0</v>
      </c>
      <c r="K20">
        <f>dummy_variables!I20</f>
        <v>0</v>
      </c>
      <c r="L20">
        <f>dummy_variables!J20</f>
        <v>0</v>
      </c>
      <c r="M20">
        <f>dummy_variables!K20</f>
        <v>0</v>
      </c>
    </row>
    <row r="21" spans="1:13">
      <c r="A21">
        <f>cleaned_data!M21</f>
        <v>591619.94999999995</v>
      </c>
      <c r="B21">
        <f>cleaned_data!E21</f>
        <v>41441.93</v>
      </c>
      <c r="C21">
        <f>cleaned_data!F21</f>
        <v>4865</v>
      </c>
      <c r="D21">
        <f>cleaned_data!G21</f>
        <v>0.158</v>
      </c>
      <c r="E21">
        <f>cleaned_data!I21</f>
        <v>88.3</v>
      </c>
      <c r="F21">
        <f>cleaned_data!L21</f>
        <v>4</v>
      </c>
      <c r="G21">
        <f>cleaned_data!K21</f>
        <v>0</v>
      </c>
      <c r="H21">
        <f>dummy_variables!F21</f>
        <v>0</v>
      </c>
      <c r="I21">
        <f>dummy_variables!G21</f>
        <v>1</v>
      </c>
      <c r="J21">
        <f>dummy_variables!H21</f>
        <v>0</v>
      </c>
      <c r="K21">
        <f>dummy_variables!I21</f>
        <v>0</v>
      </c>
      <c r="L21">
        <f>dummy_variables!J21</f>
        <v>0</v>
      </c>
      <c r="M21">
        <f>dummy_variables!K21</f>
        <v>0</v>
      </c>
    </row>
    <row r="22" spans="1:13">
      <c r="A22">
        <f>cleaned_data!M22</f>
        <v>415721.82</v>
      </c>
      <c r="B22">
        <f>cleaned_data!E22</f>
        <v>30356.28</v>
      </c>
      <c r="C22">
        <f>cleaned_data!F22</f>
        <v>2822</v>
      </c>
      <c r="D22">
        <f>cleaned_data!G22</f>
        <v>0.23100000000000001</v>
      </c>
      <c r="E22">
        <f>cleaned_data!I22</f>
        <v>84.8</v>
      </c>
      <c r="F22">
        <f>cleaned_data!L22</f>
        <v>5</v>
      </c>
      <c r="G22">
        <f>cleaned_data!K22</f>
        <v>0</v>
      </c>
      <c r="H22">
        <f>dummy_variables!F22</f>
        <v>1</v>
      </c>
      <c r="I22">
        <f>dummy_variables!G22</f>
        <v>0</v>
      </c>
      <c r="J22">
        <f>dummy_variables!H22</f>
        <v>0</v>
      </c>
      <c r="K22">
        <f>dummy_variables!I22</f>
        <v>0</v>
      </c>
      <c r="L22">
        <f>dummy_variables!J22</f>
        <v>0</v>
      </c>
      <c r="M22">
        <f>dummy_variables!K22</f>
        <v>0</v>
      </c>
    </row>
    <row r="23" spans="1:13">
      <c r="A23">
        <f>cleaned_data!M23</f>
        <v>491905.13</v>
      </c>
      <c r="B23">
        <f>cleaned_data!E23</f>
        <v>33518.879999999997</v>
      </c>
      <c r="C23">
        <f>cleaned_data!F23</f>
        <v>2121</v>
      </c>
      <c r="D23">
        <f>cleaned_data!G23</f>
        <v>0.17599999999999999</v>
      </c>
      <c r="E23">
        <f>cleaned_data!I23</f>
        <v>88.5</v>
      </c>
      <c r="F23">
        <f>cleaned_data!L23</f>
        <v>5</v>
      </c>
      <c r="G23">
        <f>cleaned_data!K23</f>
        <v>0</v>
      </c>
      <c r="H23">
        <f>dummy_variables!F23</f>
        <v>1</v>
      </c>
      <c r="I23">
        <f>dummy_variables!G23</f>
        <v>0</v>
      </c>
      <c r="J23">
        <f>dummy_variables!H23</f>
        <v>0</v>
      </c>
      <c r="K23">
        <f>dummy_variables!I23</f>
        <v>0</v>
      </c>
      <c r="L23">
        <f>dummy_variables!J23</f>
        <v>0</v>
      </c>
      <c r="M23">
        <f>dummy_variables!K23</f>
        <v>0</v>
      </c>
    </row>
    <row r="24" spans="1:13">
      <c r="A24">
        <f>cleaned_data!M24</f>
        <v>555929.4</v>
      </c>
      <c r="B24">
        <f>cleaned_data!E24</f>
        <v>42267.37</v>
      </c>
      <c r="C24">
        <f>cleaned_data!F24</f>
        <v>3364</v>
      </c>
      <c r="D24">
        <f>cleaned_data!G24</f>
        <v>0.16</v>
      </c>
      <c r="E24">
        <f>cleaned_data!I24</f>
        <v>82</v>
      </c>
      <c r="F24">
        <f>cleaned_data!L24</f>
        <v>4.5999999999999996</v>
      </c>
      <c r="G24">
        <f>cleaned_data!K24</f>
        <v>1</v>
      </c>
      <c r="H24">
        <f>dummy_variables!F24</f>
        <v>1</v>
      </c>
      <c r="I24">
        <f>dummy_variables!G24</f>
        <v>0</v>
      </c>
      <c r="J24">
        <f>dummy_variables!H24</f>
        <v>0</v>
      </c>
      <c r="K24">
        <f>dummy_variables!I24</f>
        <v>0</v>
      </c>
      <c r="L24">
        <f>dummy_variables!J24</f>
        <v>0</v>
      </c>
      <c r="M24">
        <f>dummy_variables!K24</f>
        <v>0</v>
      </c>
    </row>
    <row r="25" spans="1:13">
      <c r="A25">
        <f>cleaned_data!M25</f>
        <v>565810.99</v>
      </c>
      <c r="B25">
        <f>cleaned_data!E25</f>
        <v>62060.43</v>
      </c>
      <c r="C25">
        <f>cleaned_data!F25</f>
        <v>2613</v>
      </c>
      <c r="D25">
        <f>cleaned_data!G25</f>
        <v>0.216</v>
      </c>
      <c r="E25">
        <f>cleaned_data!I25</f>
        <v>92.1</v>
      </c>
      <c r="F25">
        <f>cleaned_data!L25</f>
        <v>4.7</v>
      </c>
      <c r="G25">
        <f>cleaned_data!K25</f>
        <v>0</v>
      </c>
      <c r="H25">
        <f>dummy_variables!F25</f>
        <v>1</v>
      </c>
      <c r="I25">
        <f>dummy_variables!G25</f>
        <v>0</v>
      </c>
      <c r="J25">
        <f>dummy_variables!H25</f>
        <v>0</v>
      </c>
      <c r="K25">
        <f>dummy_variables!I25</f>
        <v>0</v>
      </c>
      <c r="L25">
        <f>dummy_variables!J25</f>
        <v>0</v>
      </c>
      <c r="M25">
        <f>dummy_variables!K25</f>
        <v>0</v>
      </c>
    </row>
    <row r="26" spans="1:13">
      <c r="A26">
        <f>cleaned_data!M26</f>
        <v>811771.14</v>
      </c>
      <c r="B26">
        <f>cleaned_data!E26</f>
        <v>57696.69</v>
      </c>
      <c r="C26">
        <f>cleaned_data!F26</f>
        <v>10218</v>
      </c>
      <c r="D26">
        <f>cleaned_data!G26</f>
        <v>0.121</v>
      </c>
      <c r="E26">
        <f>cleaned_data!I26</f>
        <v>94.8</v>
      </c>
      <c r="F26">
        <f>cleaned_data!L26</f>
        <v>3.5</v>
      </c>
      <c r="G26">
        <f>cleaned_data!K26</f>
        <v>0</v>
      </c>
      <c r="H26">
        <f>dummy_variables!F26</f>
        <v>0</v>
      </c>
      <c r="I26">
        <f>dummy_variables!G26</f>
        <v>0</v>
      </c>
      <c r="J26">
        <f>dummy_variables!H26</f>
        <v>1</v>
      </c>
      <c r="K26">
        <f>dummy_variables!I26</f>
        <v>0</v>
      </c>
      <c r="L26">
        <f>dummy_variables!J26</f>
        <v>0</v>
      </c>
      <c r="M26">
        <f>dummy_variables!K26</f>
        <v>1</v>
      </c>
    </row>
    <row r="27" spans="1:13">
      <c r="A27">
        <f>cleaned_data!M27</f>
        <v>800451.94</v>
      </c>
      <c r="B27">
        <f>cleaned_data!E27</f>
        <v>172415.52</v>
      </c>
      <c r="C27">
        <f>cleaned_data!F27</f>
        <v>8927</v>
      </c>
      <c r="D27">
        <f>cleaned_data!G27</f>
        <v>0.14000000000000001</v>
      </c>
      <c r="E27">
        <f>cleaned_data!I27</f>
        <v>86.2</v>
      </c>
      <c r="F27">
        <f>cleaned_data!L27</f>
        <v>3.9</v>
      </c>
      <c r="G27">
        <f>cleaned_data!K27</f>
        <v>0</v>
      </c>
      <c r="H27">
        <f>dummy_variables!F27</f>
        <v>0</v>
      </c>
      <c r="I27">
        <f>dummy_variables!G27</f>
        <v>0</v>
      </c>
      <c r="J27">
        <f>dummy_variables!H27</f>
        <v>1</v>
      </c>
      <c r="K27">
        <f>dummy_variables!I27</f>
        <v>0</v>
      </c>
      <c r="L27">
        <f>dummy_variables!J27</f>
        <v>0</v>
      </c>
      <c r="M27">
        <f>dummy_variables!K27</f>
        <v>1</v>
      </c>
    </row>
    <row r="28" spans="1:13">
      <c r="A28">
        <f>cleaned_data!M28</f>
        <v>783672.82</v>
      </c>
      <c r="B28">
        <f>cleaned_data!E28</f>
        <v>55270.52</v>
      </c>
      <c r="C28">
        <f>cleaned_data!F28</f>
        <v>9315</v>
      </c>
      <c r="D28">
        <f>cleaned_data!G28</f>
        <v>0.16900000000000001</v>
      </c>
      <c r="E28">
        <f>cleaned_data!I28</f>
        <v>91.9</v>
      </c>
      <c r="F28">
        <f>cleaned_data!L28</f>
        <v>4</v>
      </c>
      <c r="G28">
        <f>cleaned_data!K28</f>
        <v>0</v>
      </c>
      <c r="H28">
        <f>dummy_variables!F28</f>
        <v>0</v>
      </c>
      <c r="I28">
        <f>dummy_variables!G28</f>
        <v>0</v>
      </c>
      <c r="J28">
        <f>dummy_variables!H28</f>
        <v>1</v>
      </c>
      <c r="K28">
        <f>dummy_variables!I28</f>
        <v>0</v>
      </c>
      <c r="L28">
        <f>dummy_variables!J28</f>
        <v>0</v>
      </c>
      <c r="M28">
        <f>dummy_variables!K28</f>
        <v>1</v>
      </c>
    </row>
    <row r="29" spans="1:13">
      <c r="A29">
        <f>cleaned_data!M29</f>
        <v>701641.97</v>
      </c>
      <c r="B29">
        <f>cleaned_data!E29</f>
        <v>52715.1</v>
      </c>
      <c r="C29">
        <f>cleaned_data!F29</f>
        <v>7223</v>
      </c>
      <c r="D29">
        <f>cleaned_data!G29</f>
        <v>0.122</v>
      </c>
      <c r="E29">
        <f>cleaned_data!I29</f>
        <v>84.2</v>
      </c>
      <c r="F29">
        <f>cleaned_data!L29</f>
        <v>3.7</v>
      </c>
      <c r="G29">
        <f>cleaned_data!K29</f>
        <v>0</v>
      </c>
      <c r="H29">
        <f>dummy_variables!F29</f>
        <v>0</v>
      </c>
      <c r="I29">
        <f>dummy_variables!G29</f>
        <v>0</v>
      </c>
      <c r="J29">
        <f>dummy_variables!H29</f>
        <v>1</v>
      </c>
      <c r="K29">
        <f>dummy_variables!I29</f>
        <v>0</v>
      </c>
      <c r="L29">
        <f>dummy_variables!J29</f>
        <v>0</v>
      </c>
      <c r="M29">
        <f>dummy_variables!K29</f>
        <v>1</v>
      </c>
    </row>
    <row r="30" spans="1:13">
      <c r="A30">
        <f>cleaned_data!M30</f>
        <v>511844.41</v>
      </c>
      <c r="B30">
        <f>cleaned_data!E30</f>
        <v>68600.62</v>
      </c>
      <c r="C30">
        <f>cleaned_data!F30</f>
        <v>3988</v>
      </c>
      <c r="D30">
        <f>cleaned_data!G30</f>
        <v>0.124</v>
      </c>
      <c r="E30">
        <f>cleaned_data!I30</f>
        <v>85</v>
      </c>
      <c r="F30">
        <f>cleaned_data!L30</f>
        <v>3.6</v>
      </c>
      <c r="G30">
        <f>cleaned_data!K30</f>
        <v>0</v>
      </c>
      <c r="H30">
        <f>dummy_variables!F30</f>
        <v>0</v>
      </c>
      <c r="I30">
        <f>dummy_variables!G30</f>
        <v>0</v>
      </c>
      <c r="J30">
        <f>dummy_variables!H30</f>
        <v>0</v>
      </c>
      <c r="K30">
        <f>dummy_variables!I30</f>
        <v>0</v>
      </c>
      <c r="L30">
        <f>dummy_variables!J30</f>
        <v>0</v>
      </c>
      <c r="M30">
        <f>dummy_variables!K30</f>
        <v>0</v>
      </c>
    </row>
    <row r="31" spans="1:13">
      <c r="A31">
        <f>cleaned_data!M31</f>
        <v>537383.79</v>
      </c>
      <c r="B31">
        <f>cleaned_data!E31</f>
        <v>63176.73</v>
      </c>
      <c r="C31">
        <f>cleaned_data!F31</f>
        <v>2390</v>
      </c>
      <c r="D31">
        <f>cleaned_data!G31</f>
        <v>0.216</v>
      </c>
      <c r="E31">
        <f>cleaned_data!I31</f>
        <v>87.5</v>
      </c>
      <c r="F31">
        <f>cleaned_data!L31</f>
        <v>3.1</v>
      </c>
      <c r="G31">
        <f>cleaned_data!K31</f>
        <v>0</v>
      </c>
      <c r="H31">
        <f>dummy_variables!F31</f>
        <v>0</v>
      </c>
      <c r="I31">
        <f>dummy_variables!G31</f>
        <v>0</v>
      </c>
      <c r="J31">
        <f>dummy_variables!H31</f>
        <v>0</v>
      </c>
      <c r="K31">
        <f>dummy_variables!I31</f>
        <v>0</v>
      </c>
      <c r="L31">
        <f>dummy_variables!J31</f>
        <v>0</v>
      </c>
      <c r="M31">
        <f>dummy_variables!K31</f>
        <v>0</v>
      </c>
    </row>
    <row r="32" spans="1:13">
      <c r="A32">
        <f>cleaned_data!M32</f>
        <v>500173.02</v>
      </c>
      <c r="B32">
        <f>cleaned_data!E32</f>
        <v>44970.080000000002</v>
      </c>
      <c r="C32">
        <f>cleaned_data!F32</f>
        <v>2471</v>
      </c>
      <c r="D32">
        <f>cleaned_data!G32</f>
        <v>0.13600000000000001</v>
      </c>
      <c r="E32">
        <f>cleaned_data!I32</f>
        <v>87.6</v>
      </c>
      <c r="F32">
        <f>cleaned_data!L32</f>
        <v>3.7</v>
      </c>
      <c r="G32">
        <f>cleaned_data!K32</f>
        <v>1</v>
      </c>
      <c r="H32">
        <f>dummy_variables!F32</f>
        <v>0</v>
      </c>
      <c r="I32">
        <f>dummy_variables!G32</f>
        <v>0</v>
      </c>
      <c r="J32">
        <f>dummy_variables!H32</f>
        <v>0</v>
      </c>
      <c r="K32">
        <f>dummy_variables!I32</f>
        <v>0</v>
      </c>
      <c r="L32">
        <f>dummy_variables!J32</f>
        <v>0</v>
      </c>
      <c r="M32">
        <f>dummy_variables!K32</f>
        <v>0</v>
      </c>
    </row>
    <row r="33" spans="1:13">
      <c r="A33">
        <f>cleaned_data!M33</f>
        <v>427917.38</v>
      </c>
      <c r="B33">
        <f>cleaned_data!E33</f>
        <v>69816.350000000006</v>
      </c>
      <c r="C33">
        <f>cleaned_data!F33</f>
        <v>971</v>
      </c>
      <c r="D33">
        <f>cleaned_data!G33</f>
        <v>0.16800000000000001</v>
      </c>
      <c r="E33">
        <f>cleaned_data!I33</f>
        <v>89.9</v>
      </c>
      <c r="F33">
        <f>cleaned_data!L33</f>
        <v>3.6</v>
      </c>
      <c r="G33">
        <f>cleaned_data!K33</f>
        <v>0</v>
      </c>
      <c r="H33">
        <f>dummy_variables!F33</f>
        <v>0</v>
      </c>
      <c r="I33">
        <f>dummy_variables!G33</f>
        <v>0</v>
      </c>
      <c r="J33">
        <f>dummy_variables!H33</f>
        <v>0</v>
      </c>
      <c r="K33">
        <f>dummy_variables!I33</f>
        <v>0</v>
      </c>
      <c r="L33">
        <f>dummy_variables!J33</f>
        <v>0</v>
      </c>
      <c r="M33">
        <f>dummy_variables!K33</f>
        <v>0</v>
      </c>
    </row>
    <row r="34" spans="1:13">
      <c r="A34">
        <f>cleaned_data!M34</f>
        <v>641865.03</v>
      </c>
      <c r="B34">
        <f>cleaned_data!E34</f>
        <v>54597.83</v>
      </c>
      <c r="C34">
        <f>cleaned_data!F34</f>
        <v>9429</v>
      </c>
      <c r="D34">
        <f>cleaned_data!G34</f>
        <v>0.188</v>
      </c>
      <c r="E34">
        <f>cleaned_data!I34</f>
        <v>83.3</v>
      </c>
      <c r="F34">
        <f>cleaned_data!L34</f>
        <v>4.2</v>
      </c>
      <c r="G34">
        <f>cleaned_data!K34</f>
        <v>0</v>
      </c>
      <c r="H34">
        <f>dummy_variables!F34</f>
        <v>1</v>
      </c>
      <c r="I34">
        <f>dummy_variables!G34</f>
        <v>0</v>
      </c>
      <c r="J34">
        <f>dummy_variables!H34</f>
        <v>0</v>
      </c>
      <c r="K34">
        <f>dummy_variables!I34</f>
        <v>0</v>
      </c>
      <c r="L34">
        <f>dummy_variables!J34</f>
        <v>0</v>
      </c>
      <c r="M34">
        <f>dummy_variables!K34</f>
        <v>0</v>
      </c>
    </row>
    <row r="35" spans="1:13">
      <c r="A35">
        <f>cleaned_data!M35</f>
        <v>799477.76000000001</v>
      </c>
      <c r="B35">
        <f>cleaned_data!E35</f>
        <v>73771.91</v>
      </c>
      <c r="C35">
        <f>cleaned_data!F35</f>
        <v>11695</v>
      </c>
      <c r="D35">
        <f>cleaned_data!G35</f>
        <v>7.0000000000000007E-2</v>
      </c>
      <c r="E35">
        <f>cleaned_data!I35</f>
        <v>84.7</v>
      </c>
      <c r="F35">
        <f>cleaned_data!L35</f>
        <v>4</v>
      </c>
      <c r="G35">
        <f>cleaned_data!K35</f>
        <v>0</v>
      </c>
      <c r="H35">
        <f>dummy_variables!F35</f>
        <v>1</v>
      </c>
      <c r="I35">
        <f>dummy_variables!G35</f>
        <v>0</v>
      </c>
      <c r="J35">
        <f>dummy_variables!H35</f>
        <v>0</v>
      </c>
      <c r="K35">
        <f>dummy_variables!I35</f>
        <v>0</v>
      </c>
      <c r="L35">
        <f>dummy_variables!J35</f>
        <v>0</v>
      </c>
      <c r="M35">
        <f>dummy_variables!K35</f>
        <v>0</v>
      </c>
    </row>
    <row r="36" spans="1:13">
      <c r="A36">
        <f>cleaned_data!M36</f>
        <v>798952.17</v>
      </c>
      <c r="B36">
        <f>cleaned_data!E36</f>
        <v>74413.88</v>
      </c>
      <c r="C36">
        <f>cleaned_data!F36</f>
        <v>9449</v>
      </c>
      <c r="D36">
        <f>cleaned_data!G36</f>
        <v>3.9E-2</v>
      </c>
      <c r="E36">
        <f>cleaned_data!I36</f>
        <v>92.1</v>
      </c>
      <c r="F36">
        <f>cleaned_data!L36</f>
        <v>3.5</v>
      </c>
      <c r="G36">
        <f>cleaned_data!K36</f>
        <v>0</v>
      </c>
      <c r="H36">
        <f>dummy_variables!F36</f>
        <v>1</v>
      </c>
      <c r="I36">
        <f>dummy_variables!G36</f>
        <v>0</v>
      </c>
      <c r="J36">
        <f>dummy_variables!H36</f>
        <v>0</v>
      </c>
      <c r="K36">
        <f>dummy_variables!I36</f>
        <v>0</v>
      </c>
      <c r="L36">
        <f>dummy_variables!J36</f>
        <v>0</v>
      </c>
      <c r="M36">
        <f>dummy_variables!K36</f>
        <v>0</v>
      </c>
    </row>
    <row r="37" spans="1:13">
      <c r="A37">
        <f>cleaned_data!M37</f>
        <v>800979.78</v>
      </c>
      <c r="B37">
        <f>cleaned_data!E37</f>
        <v>52483.77</v>
      </c>
      <c r="C37">
        <f>cleaned_data!F37</f>
        <v>10453</v>
      </c>
      <c r="D37">
        <f>cleaned_data!G37</f>
        <v>0.247</v>
      </c>
      <c r="E37">
        <f>cleaned_data!I37</f>
        <v>99</v>
      </c>
      <c r="F37">
        <f>cleaned_data!L37</f>
        <v>3.6</v>
      </c>
      <c r="G37">
        <f>cleaned_data!K37</f>
        <v>0</v>
      </c>
      <c r="H37">
        <f>dummy_variables!F37</f>
        <v>1</v>
      </c>
      <c r="I37">
        <f>dummy_variables!G37</f>
        <v>0</v>
      </c>
      <c r="J37">
        <f>dummy_variables!H37</f>
        <v>0</v>
      </c>
      <c r="K37">
        <f>dummy_variables!I37</f>
        <v>0</v>
      </c>
      <c r="L37">
        <f>dummy_variables!J37</f>
        <v>0</v>
      </c>
      <c r="M37">
        <f>dummy_variables!K37</f>
        <v>0</v>
      </c>
    </row>
    <row r="38" spans="1:13">
      <c r="A38">
        <f>cleaned_data!M38</f>
        <v>820593.93</v>
      </c>
      <c r="B38">
        <f>cleaned_data!E38</f>
        <v>75269.87</v>
      </c>
      <c r="C38">
        <f>cleaned_data!F38</f>
        <v>8838</v>
      </c>
      <c r="D38">
        <f>cleaned_data!G38</f>
        <v>9.1999999999999998E-2</v>
      </c>
      <c r="E38">
        <f>cleaned_data!I38</f>
        <v>83.1</v>
      </c>
      <c r="F38">
        <f>cleaned_data!L38</f>
        <v>4.2</v>
      </c>
      <c r="G38">
        <f>cleaned_data!K38</f>
        <v>1</v>
      </c>
      <c r="H38">
        <f>dummy_variables!F38</f>
        <v>1</v>
      </c>
      <c r="I38">
        <f>dummy_variables!G38</f>
        <v>0</v>
      </c>
      <c r="J38">
        <f>dummy_variables!H38</f>
        <v>0</v>
      </c>
      <c r="K38">
        <f>dummy_variables!I38</f>
        <v>0</v>
      </c>
      <c r="L38">
        <f>dummy_variables!J38</f>
        <v>0</v>
      </c>
      <c r="M38">
        <f>dummy_variables!K38</f>
        <v>1</v>
      </c>
    </row>
    <row r="39" spans="1:13">
      <c r="A39">
        <f>cleaned_data!M39</f>
        <v>718330.53</v>
      </c>
      <c r="B39">
        <f>cleaned_data!E39</f>
        <v>61245.41</v>
      </c>
      <c r="C39">
        <f>cleaned_data!F39</f>
        <v>8156</v>
      </c>
      <c r="D39">
        <f>cleaned_data!G39</f>
        <v>0.156</v>
      </c>
      <c r="E39">
        <f>cleaned_data!I39</f>
        <v>92.9</v>
      </c>
      <c r="F39">
        <f>cleaned_data!L39</f>
        <v>3.8</v>
      </c>
      <c r="G39">
        <f>cleaned_data!K39</f>
        <v>0</v>
      </c>
      <c r="H39">
        <f>dummy_variables!F39</f>
        <v>1</v>
      </c>
      <c r="I39">
        <f>dummy_variables!G39</f>
        <v>0</v>
      </c>
      <c r="J39">
        <f>dummy_variables!H39</f>
        <v>0</v>
      </c>
      <c r="K39">
        <f>dummy_variables!I39</f>
        <v>0</v>
      </c>
      <c r="L39">
        <f>dummy_variables!J39</f>
        <v>0</v>
      </c>
      <c r="M39">
        <f>dummy_variables!K39</f>
        <v>1</v>
      </c>
    </row>
    <row r="40" spans="1:13">
      <c r="A40">
        <f>cleaned_data!M40</f>
        <v>736633.4</v>
      </c>
      <c r="B40">
        <f>cleaned_data!E40</f>
        <v>93381.26</v>
      </c>
      <c r="C40">
        <f>cleaned_data!F40</f>
        <v>7562</v>
      </c>
      <c r="D40">
        <f>cleaned_data!G40</f>
        <v>0.19800000000000001</v>
      </c>
      <c r="E40">
        <f>cleaned_data!I40</f>
        <v>82.9</v>
      </c>
      <c r="F40">
        <f>cleaned_data!L40</f>
        <v>4</v>
      </c>
      <c r="G40">
        <f>cleaned_data!K40</f>
        <v>0</v>
      </c>
      <c r="H40">
        <f>dummy_variables!F40</f>
        <v>1</v>
      </c>
      <c r="I40">
        <f>dummy_variables!G40</f>
        <v>0</v>
      </c>
      <c r="J40">
        <f>dummy_variables!H40</f>
        <v>0</v>
      </c>
      <c r="K40">
        <f>dummy_variables!I40</f>
        <v>0</v>
      </c>
      <c r="L40">
        <f>dummy_variables!J40</f>
        <v>0</v>
      </c>
      <c r="M40">
        <f>dummy_variables!K40</f>
        <v>1</v>
      </c>
    </row>
    <row r="41" spans="1:13">
      <c r="A41">
        <f>cleaned_data!M41</f>
        <v>828623.85</v>
      </c>
      <c r="B41">
        <f>cleaned_data!E41</f>
        <v>65012.19</v>
      </c>
      <c r="C41">
        <f>cleaned_data!F41</f>
        <v>9598</v>
      </c>
      <c r="D41">
        <f>cleaned_data!G41</f>
        <v>8.5000000000000006E-2</v>
      </c>
      <c r="E41">
        <f>cleaned_data!I41</f>
        <v>98.3</v>
      </c>
      <c r="F41">
        <f>cleaned_data!L41</f>
        <v>3.8</v>
      </c>
      <c r="G41">
        <f>cleaned_data!K41</f>
        <v>0</v>
      </c>
      <c r="H41">
        <f>dummy_variables!F41</f>
        <v>1</v>
      </c>
      <c r="I41">
        <f>dummy_variables!G41</f>
        <v>0</v>
      </c>
      <c r="J41">
        <f>dummy_variables!H41</f>
        <v>0</v>
      </c>
      <c r="K41">
        <f>dummy_variables!I41</f>
        <v>0</v>
      </c>
      <c r="L41">
        <f>dummy_variables!J41</f>
        <v>0</v>
      </c>
      <c r="M41">
        <f>dummy_variables!K41</f>
        <v>1</v>
      </c>
    </row>
    <row r="42" spans="1:13">
      <c r="A42">
        <f>cleaned_data!M42</f>
        <v>592195.85</v>
      </c>
      <c r="B42">
        <f>cleaned_data!E42</f>
        <v>40462.94</v>
      </c>
      <c r="C42">
        <f>cleaned_data!F42</f>
        <v>3660</v>
      </c>
      <c r="D42">
        <f>cleaned_data!G42</f>
        <v>0.218</v>
      </c>
      <c r="E42">
        <f>cleaned_data!I42</f>
        <v>95.2</v>
      </c>
      <c r="F42">
        <f>cleaned_data!L42</f>
        <v>4.4000000000000004</v>
      </c>
      <c r="G42">
        <f>cleaned_data!K42</f>
        <v>0</v>
      </c>
      <c r="H42">
        <f>dummy_variables!F42</f>
        <v>0</v>
      </c>
      <c r="I42">
        <f>dummy_variables!G42</f>
        <v>0</v>
      </c>
      <c r="J42">
        <f>dummy_variables!H42</f>
        <v>0</v>
      </c>
      <c r="K42">
        <f>dummy_variables!I42</f>
        <v>0</v>
      </c>
      <c r="L42">
        <f>dummy_variables!J42</f>
        <v>0</v>
      </c>
      <c r="M42">
        <f>dummy_variables!K42</f>
        <v>1</v>
      </c>
    </row>
    <row r="43" spans="1:13">
      <c r="A43">
        <f>cleaned_data!M43</f>
        <v>532644.46</v>
      </c>
      <c r="B43">
        <f>cleaned_data!E43</f>
        <v>46123.88</v>
      </c>
      <c r="C43">
        <f>cleaned_data!F43</f>
        <v>3227</v>
      </c>
      <c r="D43">
        <f>cleaned_data!G43</f>
        <v>0.14299999999999999</v>
      </c>
      <c r="E43">
        <f>cleaned_data!I43</f>
        <v>75.400000000000006</v>
      </c>
      <c r="F43">
        <f>cleaned_data!L43</f>
        <v>4.4000000000000004</v>
      </c>
      <c r="G43">
        <f>cleaned_data!K43</f>
        <v>0</v>
      </c>
      <c r="H43">
        <f>dummy_variables!F43</f>
        <v>0</v>
      </c>
      <c r="I43">
        <f>dummy_variables!G43</f>
        <v>0</v>
      </c>
      <c r="J43">
        <f>dummy_variables!H43</f>
        <v>0</v>
      </c>
      <c r="K43">
        <f>dummy_variables!I43</f>
        <v>0</v>
      </c>
      <c r="L43">
        <f>dummy_variables!J43</f>
        <v>0</v>
      </c>
      <c r="M43">
        <f>dummy_variables!K43</f>
        <v>1</v>
      </c>
    </row>
    <row r="44" spans="1:13">
      <c r="A44">
        <f>cleaned_data!M44</f>
        <v>657429.18000000005</v>
      </c>
      <c r="B44">
        <f>cleaned_data!E44</f>
        <v>68077.539999999994</v>
      </c>
      <c r="C44">
        <f>cleaned_data!F44</f>
        <v>3360</v>
      </c>
      <c r="D44">
        <f>cleaned_data!G44</f>
        <v>0.128</v>
      </c>
      <c r="E44">
        <f>cleaned_data!I44</f>
        <v>88.2</v>
      </c>
      <c r="F44">
        <f>cleaned_data!L44</f>
        <v>4</v>
      </c>
      <c r="G44">
        <f>cleaned_data!K44</f>
        <v>1</v>
      </c>
      <c r="H44">
        <f>dummy_variables!F44</f>
        <v>0</v>
      </c>
      <c r="I44">
        <f>dummy_variables!G44</f>
        <v>0</v>
      </c>
      <c r="J44">
        <f>dummy_variables!H44</f>
        <v>0</v>
      </c>
      <c r="K44">
        <f>dummy_variables!I44</f>
        <v>0</v>
      </c>
      <c r="L44">
        <f>dummy_variables!J44</f>
        <v>0</v>
      </c>
      <c r="M44">
        <f>dummy_variables!K44</f>
        <v>1</v>
      </c>
    </row>
    <row r="45" spans="1:13">
      <c r="A45">
        <f>cleaned_data!M45</f>
        <v>605178</v>
      </c>
      <c r="B45">
        <f>cleaned_data!E45</f>
        <v>64882.14</v>
      </c>
      <c r="C45">
        <f>cleaned_data!F45</f>
        <v>3642</v>
      </c>
      <c r="D45">
        <f>cleaned_data!G45</f>
        <v>1.9E-2</v>
      </c>
      <c r="E45">
        <f>cleaned_data!I45</f>
        <v>87.8</v>
      </c>
      <c r="F45">
        <f>cleaned_data!L45</f>
        <v>4.2</v>
      </c>
      <c r="G45">
        <f>cleaned_data!K45</f>
        <v>0</v>
      </c>
      <c r="H45">
        <f>dummy_variables!F45</f>
        <v>0</v>
      </c>
      <c r="I45">
        <f>dummy_variables!G45</f>
        <v>0</v>
      </c>
      <c r="J45">
        <f>dummy_variables!H45</f>
        <v>0</v>
      </c>
      <c r="K45">
        <f>dummy_variables!I45</f>
        <v>0</v>
      </c>
      <c r="L45">
        <f>dummy_variables!J45</f>
        <v>0</v>
      </c>
      <c r="M45">
        <f>dummy_variables!K45</f>
        <v>1</v>
      </c>
    </row>
    <row r="46" spans="1:13">
      <c r="A46">
        <f>cleaned_data!M46</f>
        <v>595467.6</v>
      </c>
      <c r="B46">
        <f>cleaned_data!E46</f>
        <v>138855.51</v>
      </c>
      <c r="C46">
        <f>cleaned_data!F46</f>
        <v>5145</v>
      </c>
      <c r="D46">
        <f>cleaned_data!G46</f>
        <v>0.06</v>
      </c>
      <c r="E46">
        <f>cleaned_data!I46</f>
        <v>88.2</v>
      </c>
      <c r="F46">
        <f>cleaned_data!L46</f>
        <v>3.2</v>
      </c>
      <c r="G46">
        <f>cleaned_data!K46</f>
        <v>0</v>
      </c>
      <c r="H46">
        <f>dummy_variables!F46</f>
        <v>0</v>
      </c>
      <c r="I46">
        <f>dummy_variables!G46</f>
        <v>0</v>
      </c>
      <c r="J46">
        <f>dummy_variables!H46</f>
        <v>1</v>
      </c>
      <c r="K46">
        <f>dummy_variables!I46</f>
        <v>0</v>
      </c>
      <c r="L46">
        <f>dummy_variables!J46</f>
        <v>0</v>
      </c>
      <c r="M46">
        <f>dummy_variables!K46</f>
        <v>0</v>
      </c>
    </row>
    <row r="47" spans="1:13">
      <c r="A47">
        <f>cleaned_data!M47</f>
        <v>599603.4</v>
      </c>
      <c r="B47">
        <f>cleaned_data!E47</f>
        <v>63630.21</v>
      </c>
      <c r="C47">
        <f>cleaned_data!F47</f>
        <v>4460</v>
      </c>
      <c r="D47">
        <f>cleaned_data!G47</f>
        <v>0.23499999999999999</v>
      </c>
      <c r="E47">
        <f>cleaned_data!I47</f>
        <v>98.6</v>
      </c>
      <c r="F47">
        <f>cleaned_data!L47</f>
        <v>3.5</v>
      </c>
      <c r="G47">
        <f>cleaned_data!K47</f>
        <v>0</v>
      </c>
      <c r="H47">
        <f>dummy_variables!F47</f>
        <v>0</v>
      </c>
      <c r="I47">
        <f>dummy_variables!G47</f>
        <v>0</v>
      </c>
      <c r="J47">
        <f>dummy_variables!H47</f>
        <v>1</v>
      </c>
      <c r="K47">
        <f>dummy_variables!I47</f>
        <v>0</v>
      </c>
      <c r="L47">
        <f>dummy_variables!J47</f>
        <v>0</v>
      </c>
      <c r="M47">
        <f>dummy_variables!K47</f>
        <v>0</v>
      </c>
    </row>
    <row r="48" spans="1:13">
      <c r="A48">
        <f>cleaned_data!M48</f>
        <v>614800.09</v>
      </c>
      <c r="B48">
        <f>cleaned_data!E48</f>
        <v>50043.65</v>
      </c>
      <c r="C48">
        <f>cleaned_data!F48</f>
        <v>3804</v>
      </c>
      <c r="D48">
        <f>cleaned_data!G48</f>
        <v>0.113</v>
      </c>
      <c r="E48">
        <f>cleaned_data!I48</f>
        <v>90.9</v>
      </c>
      <c r="F48">
        <f>cleaned_data!L48</f>
        <v>3.2</v>
      </c>
      <c r="G48">
        <f>cleaned_data!K48</f>
        <v>1</v>
      </c>
      <c r="H48">
        <f>dummy_variables!F48</f>
        <v>0</v>
      </c>
      <c r="I48">
        <f>dummy_variables!G48</f>
        <v>0</v>
      </c>
      <c r="J48">
        <f>dummy_variables!H48</f>
        <v>1</v>
      </c>
      <c r="K48">
        <f>dummy_variables!I48</f>
        <v>0</v>
      </c>
      <c r="L48">
        <f>dummy_variables!J48</f>
        <v>0</v>
      </c>
      <c r="M48">
        <f>dummy_variables!K48</f>
        <v>0</v>
      </c>
    </row>
    <row r="49" spans="1:13">
      <c r="A49">
        <f>cleaned_data!M49</f>
        <v>585365.73</v>
      </c>
      <c r="B49">
        <f>cleaned_data!E49</f>
        <v>42093.84</v>
      </c>
      <c r="C49">
        <f>cleaned_data!F49</f>
        <v>4074</v>
      </c>
      <c r="D49">
        <f>cleaned_data!G49</f>
        <v>0.155</v>
      </c>
      <c r="E49">
        <f>cleaned_data!I49</f>
        <v>88</v>
      </c>
      <c r="F49">
        <f>cleaned_data!L49</f>
        <v>3.3</v>
      </c>
      <c r="G49">
        <f>cleaned_data!K49</f>
        <v>0</v>
      </c>
      <c r="H49">
        <f>dummy_variables!F49</f>
        <v>0</v>
      </c>
      <c r="I49">
        <f>dummy_variables!G49</f>
        <v>0</v>
      </c>
      <c r="J49">
        <f>dummy_variables!H49</f>
        <v>1</v>
      </c>
      <c r="K49">
        <f>dummy_variables!I49</f>
        <v>0</v>
      </c>
      <c r="L49">
        <f>dummy_variables!J49</f>
        <v>0</v>
      </c>
      <c r="M49">
        <f>dummy_variables!K49</f>
        <v>0</v>
      </c>
    </row>
    <row r="50" spans="1:13">
      <c r="A50">
        <f>cleaned_data!M50</f>
        <v>622811.74</v>
      </c>
      <c r="B50">
        <f>cleaned_data!E50</f>
        <v>46624.05</v>
      </c>
      <c r="C50">
        <f>cleaned_data!F50</f>
        <v>5104</v>
      </c>
      <c r="D50">
        <f>cleaned_data!G50</f>
        <v>0.109</v>
      </c>
      <c r="E50">
        <f>cleaned_data!I50</f>
        <v>97.3</v>
      </c>
      <c r="F50">
        <f>cleaned_data!L50</f>
        <v>4.7</v>
      </c>
      <c r="G50">
        <f>cleaned_data!K50</f>
        <v>1</v>
      </c>
      <c r="H50">
        <f>dummy_variables!F50</f>
        <v>1</v>
      </c>
      <c r="I50">
        <f>dummy_variables!G50</f>
        <v>0</v>
      </c>
      <c r="J50">
        <f>dummy_variables!H50</f>
        <v>0</v>
      </c>
      <c r="K50">
        <f>dummy_variables!I50</f>
        <v>0</v>
      </c>
      <c r="L50">
        <f>dummy_variables!J50</f>
        <v>0</v>
      </c>
      <c r="M50">
        <f>dummy_variables!K50</f>
        <v>1</v>
      </c>
    </row>
    <row r="51" spans="1:13">
      <c r="A51">
        <f>cleaned_data!M51</f>
        <v>603297.56999999995</v>
      </c>
      <c r="B51">
        <f>cleaned_data!E51</f>
        <v>49710.29</v>
      </c>
      <c r="C51">
        <f>cleaned_data!F51</f>
        <v>5559</v>
      </c>
      <c r="D51">
        <f>cleaned_data!G51</f>
        <v>0.218</v>
      </c>
      <c r="E51">
        <f>cleaned_data!I51</f>
        <v>71</v>
      </c>
      <c r="F51">
        <f>cleaned_data!L51</f>
        <v>4.5999999999999996</v>
      </c>
      <c r="G51">
        <f>cleaned_data!K51</f>
        <v>0</v>
      </c>
      <c r="H51">
        <f>dummy_variables!F51</f>
        <v>1</v>
      </c>
      <c r="I51">
        <f>dummy_variables!G51</f>
        <v>0</v>
      </c>
      <c r="J51">
        <f>dummy_variables!H51</f>
        <v>0</v>
      </c>
      <c r="K51">
        <f>dummy_variables!I51</f>
        <v>0</v>
      </c>
      <c r="L51">
        <f>dummy_variables!J51</f>
        <v>0</v>
      </c>
      <c r="M51">
        <f>dummy_variables!K51</f>
        <v>1</v>
      </c>
    </row>
    <row r="52" spans="1:13">
      <c r="A52">
        <f>cleaned_data!M52</f>
        <v>625672.86</v>
      </c>
      <c r="B52">
        <f>cleaned_data!E52</f>
        <v>48287.85</v>
      </c>
      <c r="C52">
        <f>cleaned_data!F52</f>
        <v>5150</v>
      </c>
      <c r="D52">
        <f>cleaned_data!G52</f>
        <v>8.0000000000000002E-3</v>
      </c>
      <c r="E52">
        <f>cleaned_data!I52</f>
        <v>80.400000000000006</v>
      </c>
      <c r="F52">
        <f>cleaned_data!L52</f>
        <v>4.5</v>
      </c>
      <c r="G52">
        <f>cleaned_data!K52</f>
        <v>0</v>
      </c>
      <c r="H52">
        <f>dummy_variables!F52</f>
        <v>1</v>
      </c>
      <c r="I52">
        <f>dummy_variables!G52</f>
        <v>0</v>
      </c>
      <c r="J52">
        <f>dummy_variables!H52</f>
        <v>0</v>
      </c>
      <c r="K52">
        <f>dummy_variables!I52</f>
        <v>0</v>
      </c>
      <c r="L52">
        <f>dummy_variables!J52</f>
        <v>0</v>
      </c>
      <c r="M52">
        <f>dummy_variables!K52</f>
        <v>1</v>
      </c>
    </row>
    <row r="53" spans="1:13">
      <c r="A53">
        <f>cleaned_data!M53</f>
        <v>773815.14</v>
      </c>
      <c r="B53">
        <f>cleaned_data!E53</f>
        <v>65312.49</v>
      </c>
      <c r="C53">
        <f>cleaned_data!F53</f>
        <v>7189</v>
      </c>
      <c r="D53">
        <f>cleaned_data!G53</f>
        <v>0.05</v>
      </c>
      <c r="E53">
        <f>cleaned_data!I53</f>
        <v>93.7</v>
      </c>
      <c r="F53">
        <f>cleaned_data!L53</f>
        <v>4.5999999999999996</v>
      </c>
      <c r="G53">
        <f>cleaned_data!K53</f>
        <v>0</v>
      </c>
      <c r="H53">
        <f>dummy_variables!F53</f>
        <v>1</v>
      </c>
      <c r="I53">
        <f>dummy_variables!G53</f>
        <v>0</v>
      </c>
      <c r="J53">
        <f>dummy_variables!H53</f>
        <v>0</v>
      </c>
      <c r="K53">
        <f>dummy_variables!I53</f>
        <v>0</v>
      </c>
      <c r="L53">
        <f>dummy_variables!J53</f>
        <v>0</v>
      </c>
      <c r="M53">
        <f>dummy_variables!K53</f>
        <v>1</v>
      </c>
    </row>
    <row r="54" spans="1:13">
      <c r="A54">
        <f>cleaned_data!M54</f>
        <v>463534.25</v>
      </c>
      <c r="B54">
        <f>cleaned_data!E54</f>
        <v>53015.46</v>
      </c>
      <c r="C54">
        <f>cleaned_data!F54</f>
        <v>3279</v>
      </c>
      <c r="D54">
        <f>cleaned_data!G54</f>
        <v>8.6999999999999994E-2</v>
      </c>
      <c r="E54">
        <f>cleaned_data!I54</f>
        <v>84.3</v>
      </c>
      <c r="F54">
        <f>cleaned_data!L54</f>
        <v>3.9</v>
      </c>
      <c r="G54">
        <f>cleaned_data!K54</f>
        <v>0</v>
      </c>
      <c r="H54">
        <f>dummy_variables!F54</f>
        <v>0</v>
      </c>
      <c r="I54">
        <f>dummy_variables!G54</f>
        <v>0</v>
      </c>
      <c r="J54">
        <f>dummy_variables!H54</f>
        <v>1</v>
      </c>
      <c r="K54">
        <f>dummy_variables!I54</f>
        <v>0</v>
      </c>
      <c r="L54">
        <f>dummy_variables!J54</f>
        <v>1</v>
      </c>
      <c r="M54">
        <f>dummy_variables!K54</f>
        <v>0</v>
      </c>
    </row>
    <row r="55" spans="1:13">
      <c r="A55">
        <f>cleaned_data!M55</f>
        <v>746677.75</v>
      </c>
      <c r="B55">
        <f>cleaned_data!E55</f>
        <v>99874.01</v>
      </c>
      <c r="C55">
        <f>cleaned_data!F55</f>
        <v>5887</v>
      </c>
      <c r="D55">
        <f>cleaned_data!G55</f>
        <v>0.26200000000000001</v>
      </c>
      <c r="E55">
        <f>cleaned_data!I55</f>
        <v>88.7</v>
      </c>
      <c r="F55">
        <f>cleaned_data!L55</f>
        <v>4.7</v>
      </c>
      <c r="G55">
        <f>cleaned_data!K55</f>
        <v>0</v>
      </c>
      <c r="H55">
        <f>dummy_variables!F55</f>
        <v>0</v>
      </c>
      <c r="I55">
        <f>dummy_variables!G55</f>
        <v>0</v>
      </c>
      <c r="J55">
        <f>dummy_variables!H55</f>
        <v>1</v>
      </c>
      <c r="K55">
        <f>dummy_variables!I55</f>
        <v>0</v>
      </c>
      <c r="L55">
        <f>dummy_variables!J55</f>
        <v>1</v>
      </c>
      <c r="M55">
        <f>dummy_variables!K55</f>
        <v>0</v>
      </c>
    </row>
    <row r="56" spans="1:13">
      <c r="A56">
        <f>cleaned_data!M56</f>
        <v>720852.5</v>
      </c>
      <c r="B56">
        <f>cleaned_data!E56</f>
        <v>81195.5</v>
      </c>
      <c r="C56">
        <f>cleaned_data!F56</f>
        <v>5516</v>
      </c>
      <c r="D56">
        <f>cleaned_data!G56</f>
        <v>0.106</v>
      </c>
      <c r="E56">
        <f>cleaned_data!I56</f>
        <v>88</v>
      </c>
      <c r="F56">
        <f>cleaned_data!L56</f>
        <v>4.3</v>
      </c>
      <c r="G56">
        <f>cleaned_data!K56</f>
        <v>0</v>
      </c>
      <c r="H56">
        <f>dummy_variables!F56</f>
        <v>0</v>
      </c>
      <c r="I56">
        <f>dummy_variables!G56</f>
        <v>0</v>
      </c>
      <c r="J56">
        <f>dummy_variables!H56</f>
        <v>1</v>
      </c>
      <c r="K56">
        <f>dummy_variables!I56</f>
        <v>0</v>
      </c>
      <c r="L56">
        <f>dummy_variables!J56</f>
        <v>1</v>
      </c>
      <c r="M56">
        <f>dummy_variables!K56</f>
        <v>0</v>
      </c>
    </row>
    <row r="57" spans="1:13">
      <c r="A57">
        <f>cleaned_data!M57</f>
        <v>487464.91</v>
      </c>
      <c r="B57">
        <f>cleaned_data!E57</f>
        <v>27808.6</v>
      </c>
      <c r="C57">
        <f>cleaned_data!F57</f>
        <v>2863</v>
      </c>
      <c r="D57">
        <f>cleaned_data!G57</f>
        <v>0.08</v>
      </c>
      <c r="E57">
        <f>cleaned_data!I57</f>
        <v>89.3</v>
      </c>
      <c r="F57">
        <f>cleaned_data!L57</f>
        <v>4.0999999999999996</v>
      </c>
      <c r="G57">
        <f>cleaned_data!K57</f>
        <v>0</v>
      </c>
      <c r="H57">
        <f>dummy_variables!F57</f>
        <v>0</v>
      </c>
      <c r="I57">
        <f>dummy_variables!G57</f>
        <v>0</v>
      </c>
      <c r="J57">
        <f>dummy_variables!H57</f>
        <v>1</v>
      </c>
      <c r="K57">
        <f>dummy_variables!I57</f>
        <v>0</v>
      </c>
      <c r="L57">
        <f>dummy_variables!J57</f>
        <v>1</v>
      </c>
      <c r="M57">
        <f>dummy_variables!K57</f>
        <v>0</v>
      </c>
    </row>
    <row r="58" spans="1:13">
      <c r="A58">
        <f>cleaned_data!M58</f>
        <v>518049.26</v>
      </c>
      <c r="B58">
        <f>cleaned_data!E58</f>
        <v>19365.060000000001</v>
      </c>
      <c r="C58">
        <f>cleaned_data!F58</f>
        <v>2378</v>
      </c>
      <c r="D58">
        <f>cleaned_data!G58</f>
        <v>0</v>
      </c>
      <c r="E58">
        <f>cleaned_data!I58</f>
        <v>94.8</v>
      </c>
      <c r="F58">
        <f>cleaned_data!L58</f>
        <v>3.5</v>
      </c>
      <c r="G58">
        <f>cleaned_data!K58</f>
        <v>0</v>
      </c>
      <c r="H58">
        <f>dummy_variables!F58</f>
        <v>0</v>
      </c>
      <c r="I58">
        <f>dummy_variables!G58</f>
        <v>0</v>
      </c>
      <c r="J58">
        <f>dummy_variables!H58</f>
        <v>0</v>
      </c>
      <c r="K58">
        <f>dummy_variables!I58</f>
        <v>1</v>
      </c>
      <c r="L58">
        <f>dummy_variables!J58</f>
        <v>0</v>
      </c>
      <c r="M58">
        <f>dummy_variables!K58</f>
        <v>0</v>
      </c>
    </row>
    <row r="59" spans="1:13">
      <c r="A59">
        <f>cleaned_data!M59</f>
        <v>500298.48</v>
      </c>
      <c r="B59">
        <f>cleaned_data!E59</f>
        <v>59405.68</v>
      </c>
      <c r="C59">
        <f>cleaned_data!F59</f>
        <v>2515</v>
      </c>
      <c r="D59">
        <f>cleaned_data!G59</f>
        <v>3.9E-2</v>
      </c>
      <c r="E59">
        <f>cleaned_data!I59</f>
        <v>76</v>
      </c>
      <c r="F59">
        <f>cleaned_data!L59</f>
        <v>3.7</v>
      </c>
      <c r="G59">
        <f>cleaned_data!K59</f>
        <v>0</v>
      </c>
      <c r="H59">
        <f>dummy_variables!F59</f>
        <v>0</v>
      </c>
      <c r="I59">
        <f>dummy_variables!G59</f>
        <v>0</v>
      </c>
      <c r="J59">
        <f>dummy_variables!H59</f>
        <v>0</v>
      </c>
      <c r="K59">
        <f>dummy_variables!I59</f>
        <v>1</v>
      </c>
      <c r="L59">
        <f>dummy_variables!J59</f>
        <v>0</v>
      </c>
      <c r="M59">
        <f>dummy_variables!K59</f>
        <v>0</v>
      </c>
    </row>
    <row r="60" spans="1:13">
      <c r="A60">
        <f>cleaned_data!M60</f>
        <v>617291.15</v>
      </c>
      <c r="B60">
        <f>cleaned_data!E60</f>
        <v>118910.48</v>
      </c>
      <c r="C60">
        <f>cleaned_data!F60</f>
        <v>4022</v>
      </c>
      <c r="D60">
        <f>cleaned_data!G60</f>
        <v>0.13700000000000001</v>
      </c>
      <c r="E60">
        <f>cleaned_data!I60</f>
        <v>87.1</v>
      </c>
      <c r="F60">
        <f>cleaned_data!L60</f>
        <v>3.1</v>
      </c>
      <c r="G60">
        <f>cleaned_data!K60</f>
        <v>0</v>
      </c>
      <c r="H60">
        <f>dummy_variables!F60</f>
        <v>0</v>
      </c>
      <c r="I60">
        <f>dummy_variables!G60</f>
        <v>0</v>
      </c>
      <c r="J60">
        <f>dummy_variables!H60</f>
        <v>0</v>
      </c>
      <c r="K60">
        <f>dummy_variables!I60</f>
        <v>1</v>
      </c>
      <c r="L60">
        <f>dummy_variables!J60</f>
        <v>0</v>
      </c>
      <c r="M60">
        <f>dummy_variables!K60</f>
        <v>0</v>
      </c>
    </row>
    <row r="61" spans="1:13">
      <c r="A61">
        <f>cleaned_data!M61</f>
        <v>553756.43000000005</v>
      </c>
      <c r="B61">
        <f>cleaned_data!E61</f>
        <v>52952.12</v>
      </c>
      <c r="C61">
        <f>cleaned_data!F61</f>
        <v>4377</v>
      </c>
      <c r="D61">
        <f>cleaned_data!G61</f>
        <v>9.1999999999999998E-2</v>
      </c>
      <c r="E61">
        <f>cleaned_data!I61</f>
        <v>88.6</v>
      </c>
      <c r="F61">
        <f>cleaned_data!L61</f>
        <v>3.1</v>
      </c>
      <c r="G61">
        <f>cleaned_data!K61</f>
        <v>0</v>
      </c>
      <c r="H61">
        <f>dummy_variables!F61</f>
        <v>0</v>
      </c>
      <c r="I61">
        <f>dummy_variables!G61</f>
        <v>0</v>
      </c>
      <c r="J61">
        <f>dummy_variables!H61</f>
        <v>0</v>
      </c>
      <c r="K61">
        <f>dummy_variables!I61</f>
        <v>1</v>
      </c>
      <c r="L61">
        <f>dummy_variables!J61</f>
        <v>0</v>
      </c>
      <c r="M61">
        <f>dummy_variables!K61</f>
        <v>0</v>
      </c>
    </row>
    <row r="62" spans="1:13">
      <c r="A62">
        <f>cleaned_data!M62</f>
        <v>749559.71</v>
      </c>
      <c r="B62">
        <f>cleaned_data!E62</f>
        <v>74907.98</v>
      </c>
      <c r="C62">
        <f>cleaned_data!F62</f>
        <v>5306</v>
      </c>
      <c r="D62">
        <f>cleaned_data!G62</f>
        <v>6.2E-2</v>
      </c>
      <c r="E62">
        <f>cleaned_data!I62</f>
        <v>95.6</v>
      </c>
      <c r="F62">
        <f>cleaned_data!L62</f>
        <v>3.7</v>
      </c>
      <c r="G62">
        <f>cleaned_data!K62</f>
        <v>0</v>
      </c>
      <c r="H62">
        <f>dummy_variables!F62</f>
        <v>0</v>
      </c>
      <c r="I62">
        <f>dummy_variables!G62</f>
        <v>1</v>
      </c>
      <c r="J62">
        <f>dummy_variables!H62</f>
        <v>0</v>
      </c>
      <c r="K62">
        <f>dummy_variables!I62</f>
        <v>0</v>
      </c>
      <c r="L62">
        <f>dummy_variables!J62</f>
        <v>1</v>
      </c>
      <c r="M62">
        <f>dummy_variables!K62</f>
        <v>0</v>
      </c>
    </row>
    <row r="63" spans="1:13">
      <c r="A63">
        <f>cleaned_data!M63</f>
        <v>615966.48</v>
      </c>
      <c r="B63">
        <f>cleaned_data!E63</f>
        <v>37284.660000000003</v>
      </c>
      <c r="C63">
        <f>cleaned_data!F63</f>
        <v>3928</v>
      </c>
      <c r="D63">
        <f>cleaned_data!G63</f>
        <v>7.3999999999999996E-2</v>
      </c>
      <c r="E63">
        <f>cleaned_data!I63</f>
        <v>86.5</v>
      </c>
      <c r="F63">
        <f>cleaned_data!L63</f>
        <v>3.8</v>
      </c>
      <c r="G63">
        <f>cleaned_data!K63</f>
        <v>0</v>
      </c>
      <c r="H63">
        <f>dummy_variables!F63</f>
        <v>0</v>
      </c>
      <c r="I63">
        <f>dummy_variables!G63</f>
        <v>1</v>
      </c>
      <c r="J63">
        <f>dummy_variables!H63</f>
        <v>0</v>
      </c>
      <c r="K63">
        <f>dummy_variables!I63</f>
        <v>0</v>
      </c>
      <c r="L63">
        <f>dummy_variables!J63</f>
        <v>1</v>
      </c>
      <c r="M63">
        <f>dummy_variables!K63</f>
        <v>0</v>
      </c>
    </row>
    <row r="64" spans="1:13">
      <c r="A64">
        <f>cleaned_data!M64</f>
        <v>572011.19999999995</v>
      </c>
      <c r="B64">
        <f>cleaned_data!E64</f>
        <v>50343.19</v>
      </c>
      <c r="C64">
        <f>cleaned_data!F64</f>
        <v>3845</v>
      </c>
      <c r="D64">
        <f>cleaned_data!G64</f>
        <v>0.113</v>
      </c>
      <c r="E64">
        <f>cleaned_data!I64</f>
        <v>88.7</v>
      </c>
      <c r="F64">
        <f>cleaned_data!L64</f>
        <v>3.3</v>
      </c>
      <c r="G64">
        <f>cleaned_data!K64</f>
        <v>0</v>
      </c>
      <c r="H64">
        <f>dummy_variables!F64</f>
        <v>0</v>
      </c>
      <c r="I64">
        <f>dummy_variables!G64</f>
        <v>1</v>
      </c>
      <c r="J64">
        <f>dummy_variables!H64</f>
        <v>0</v>
      </c>
      <c r="K64">
        <f>dummy_variables!I64</f>
        <v>0</v>
      </c>
      <c r="L64">
        <f>dummy_variables!J64</f>
        <v>1</v>
      </c>
      <c r="M64">
        <f>dummy_variables!K64</f>
        <v>0</v>
      </c>
    </row>
    <row r="65" spans="1:13">
      <c r="A65">
        <f>cleaned_data!M65</f>
        <v>761860.19</v>
      </c>
      <c r="B65">
        <f>cleaned_data!E65</f>
        <v>74954.47</v>
      </c>
      <c r="C65">
        <f>cleaned_data!F65</f>
        <v>6620</v>
      </c>
      <c r="D65">
        <f>cleaned_data!G65</f>
        <v>5.3999999999999999E-2</v>
      </c>
      <c r="E65">
        <f>cleaned_data!I65</f>
        <v>91.1</v>
      </c>
      <c r="F65">
        <f>cleaned_data!L65</f>
        <v>3.5</v>
      </c>
      <c r="G65">
        <f>cleaned_data!K65</f>
        <v>0</v>
      </c>
      <c r="H65">
        <f>dummy_variables!F65</f>
        <v>0</v>
      </c>
      <c r="I65">
        <f>dummy_variables!G65</f>
        <v>1</v>
      </c>
      <c r="J65">
        <f>dummy_variables!H65</f>
        <v>0</v>
      </c>
      <c r="K65">
        <f>dummy_variables!I65</f>
        <v>0</v>
      </c>
      <c r="L65">
        <f>dummy_variables!J65</f>
        <v>1</v>
      </c>
      <c r="M65">
        <f>dummy_variables!K65</f>
        <v>0</v>
      </c>
    </row>
    <row r="66" spans="1:13">
      <c r="A66">
        <f>cleaned_data!M66</f>
        <v>784502.68</v>
      </c>
      <c r="B66">
        <f>cleaned_data!E66</f>
        <v>70040.31</v>
      </c>
      <c r="C66">
        <f>cleaned_data!F66</f>
        <v>9175</v>
      </c>
      <c r="D66">
        <f>cleaned_data!G66</f>
        <v>0.107</v>
      </c>
      <c r="E66">
        <f>cleaned_data!I66</f>
        <v>95.1</v>
      </c>
      <c r="F66">
        <f>cleaned_data!L66</f>
        <v>3.4</v>
      </c>
      <c r="G66">
        <f>cleaned_data!K66</f>
        <v>1</v>
      </c>
      <c r="H66">
        <f>dummy_variables!F66</f>
        <v>0</v>
      </c>
      <c r="I66">
        <f>dummy_variables!G66</f>
        <v>0</v>
      </c>
      <c r="J66">
        <f>dummy_variables!H66</f>
        <v>1</v>
      </c>
      <c r="K66">
        <f>dummy_variables!I66</f>
        <v>0</v>
      </c>
      <c r="L66">
        <f>dummy_variables!J66</f>
        <v>1</v>
      </c>
      <c r="M66">
        <f>dummy_variables!K66</f>
        <v>0</v>
      </c>
    </row>
    <row r="67" spans="1:13">
      <c r="A67">
        <f>cleaned_data!M67</f>
        <v>717141.55</v>
      </c>
      <c r="B67">
        <f>cleaned_data!E67</f>
        <v>51148.69</v>
      </c>
      <c r="C67">
        <f>cleaned_data!F67</f>
        <v>7940</v>
      </c>
      <c r="D67">
        <f>cleaned_data!G67</f>
        <v>0.156</v>
      </c>
      <c r="E67">
        <f>cleaned_data!I67</f>
        <v>93.3</v>
      </c>
      <c r="F67">
        <f>cleaned_data!L67</f>
        <v>3.6</v>
      </c>
      <c r="G67">
        <f>cleaned_data!K67</f>
        <v>0</v>
      </c>
      <c r="H67">
        <f>dummy_variables!F67</f>
        <v>0</v>
      </c>
      <c r="I67">
        <f>dummy_variables!G67</f>
        <v>0</v>
      </c>
      <c r="J67">
        <f>dummy_variables!H67</f>
        <v>1</v>
      </c>
      <c r="K67">
        <f>dummy_variables!I67</f>
        <v>0</v>
      </c>
      <c r="L67">
        <f>dummy_variables!J67</f>
        <v>1</v>
      </c>
      <c r="M67">
        <f>dummy_variables!K67</f>
        <v>0</v>
      </c>
    </row>
    <row r="68" spans="1:13">
      <c r="A68">
        <f>cleaned_data!M68</f>
        <v>685379.08</v>
      </c>
      <c r="B68">
        <f>cleaned_data!E68</f>
        <v>79346.100000000006</v>
      </c>
      <c r="C68">
        <f>cleaned_data!F68</f>
        <v>9628</v>
      </c>
      <c r="D68">
        <f>cleaned_data!G68</f>
        <v>0.10199999999999999</v>
      </c>
      <c r="E68">
        <f>cleaned_data!I68</f>
        <v>99</v>
      </c>
      <c r="F68">
        <f>cleaned_data!L68</f>
        <v>3.2</v>
      </c>
      <c r="G68">
        <f>cleaned_data!K68</f>
        <v>1</v>
      </c>
      <c r="H68">
        <f>dummy_variables!F68</f>
        <v>0</v>
      </c>
      <c r="I68">
        <f>dummy_variables!G68</f>
        <v>0</v>
      </c>
      <c r="J68">
        <f>dummy_variables!H68</f>
        <v>1</v>
      </c>
      <c r="K68">
        <f>dummy_variables!I68</f>
        <v>0</v>
      </c>
      <c r="L68">
        <f>dummy_variables!J68</f>
        <v>1</v>
      </c>
      <c r="M68">
        <f>dummy_variables!K68</f>
        <v>0</v>
      </c>
    </row>
    <row r="69" spans="1:13">
      <c r="A69">
        <f>cleaned_data!M69</f>
        <v>740496.65</v>
      </c>
      <c r="B69">
        <f>cleaned_data!E69</f>
        <v>42018.400000000001</v>
      </c>
      <c r="C69">
        <f>cleaned_data!F69</f>
        <v>8296</v>
      </c>
      <c r="D69">
        <f>cleaned_data!G69</f>
        <v>0.115</v>
      </c>
      <c r="E69">
        <f>cleaned_data!I69</f>
        <v>91.8</v>
      </c>
      <c r="F69">
        <f>cleaned_data!L69</f>
        <v>3.4</v>
      </c>
      <c r="G69">
        <f>cleaned_data!K69</f>
        <v>0</v>
      </c>
      <c r="H69">
        <f>dummy_variables!F69</f>
        <v>0</v>
      </c>
      <c r="I69">
        <f>dummy_variables!G69</f>
        <v>0</v>
      </c>
      <c r="J69">
        <f>dummy_variables!H69</f>
        <v>1</v>
      </c>
      <c r="K69">
        <f>dummy_variables!I69</f>
        <v>0</v>
      </c>
      <c r="L69">
        <f>dummy_variables!J69</f>
        <v>1</v>
      </c>
      <c r="M69">
        <f>dummy_variables!K69</f>
        <v>0</v>
      </c>
    </row>
    <row r="70" spans="1:13">
      <c r="A70">
        <f>cleaned_data!M70</f>
        <v>661927.14</v>
      </c>
      <c r="B70">
        <f>cleaned_data!E70</f>
        <v>70937.240000000005</v>
      </c>
      <c r="C70">
        <f>cleaned_data!F70</f>
        <v>3595</v>
      </c>
      <c r="D70">
        <f>cleaned_data!G70</f>
        <v>0.14099999999999999</v>
      </c>
      <c r="E70">
        <f>cleaned_data!I70</f>
        <v>88.9</v>
      </c>
      <c r="F70">
        <f>cleaned_data!L70</f>
        <v>3.3</v>
      </c>
      <c r="G70">
        <f>cleaned_data!K70</f>
        <v>1</v>
      </c>
      <c r="H70">
        <f>dummy_variables!F70</f>
        <v>0</v>
      </c>
      <c r="I70">
        <f>dummy_variables!G70</f>
        <v>0</v>
      </c>
      <c r="J70">
        <f>dummy_variables!H70</f>
        <v>0</v>
      </c>
      <c r="K70">
        <f>dummy_variables!I70</f>
        <v>0</v>
      </c>
      <c r="L70">
        <f>dummy_variables!J70</f>
        <v>1</v>
      </c>
      <c r="M70">
        <f>dummy_variables!K70</f>
        <v>0</v>
      </c>
    </row>
    <row r="71" spans="1:13">
      <c r="A71">
        <f>cleaned_data!M71</f>
        <v>479050.5</v>
      </c>
      <c r="B71">
        <f>cleaned_data!E71</f>
        <v>36813.449999999997</v>
      </c>
      <c r="C71">
        <f>cleaned_data!F71</f>
        <v>2834</v>
      </c>
      <c r="D71">
        <f>cleaned_data!G71</f>
        <v>0.191</v>
      </c>
      <c r="E71">
        <f>cleaned_data!I71</f>
        <v>81.8</v>
      </c>
      <c r="F71">
        <f>cleaned_data!L71</f>
        <v>3.3</v>
      </c>
      <c r="G71">
        <f>cleaned_data!K71</f>
        <v>0</v>
      </c>
      <c r="H71">
        <f>dummy_variables!F71</f>
        <v>0</v>
      </c>
      <c r="I71">
        <f>dummy_variables!G71</f>
        <v>0</v>
      </c>
      <c r="J71">
        <f>dummy_variables!H71</f>
        <v>0</v>
      </c>
      <c r="K71">
        <f>dummy_variables!I71</f>
        <v>0</v>
      </c>
      <c r="L71">
        <f>dummy_variables!J71</f>
        <v>1</v>
      </c>
      <c r="M71">
        <f>dummy_variables!K71</f>
        <v>0</v>
      </c>
    </row>
    <row r="72" spans="1:13">
      <c r="A72">
        <f>cleaned_data!M72</f>
        <v>605023.87</v>
      </c>
      <c r="B72">
        <f>cleaned_data!E72</f>
        <v>60571.82</v>
      </c>
      <c r="C72">
        <f>cleaned_data!F72</f>
        <v>3193</v>
      </c>
      <c r="D72">
        <f>cleaned_data!G72</f>
        <v>0.19700000000000001</v>
      </c>
      <c r="E72">
        <f>cleaned_data!I72</f>
        <v>99</v>
      </c>
      <c r="F72">
        <f>cleaned_data!L72</f>
        <v>3.2</v>
      </c>
      <c r="G72">
        <f>cleaned_data!K72</f>
        <v>0</v>
      </c>
      <c r="H72">
        <f>dummy_variables!F72</f>
        <v>0</v>
      </c>
      <c r="I72">
        <f>dummy_variables!G72</f>
        <v>0</v>
      </c>
      <c r="J72">
        <f>dummy_variables!H72</f>
        <v>0</v>
      </c>
      <c r="K72">
        <f>dummy_variables!I72</f>
        <v>0</v>
      </c>
      <c r="L72">
        <f>dummy_variables!J72</f>
        <v>1</v>
      </c>
      <c r="M72">
        <f>dummy_variables!K72</f>
        <v>0</v>
      </c>
    </row>
    <row r="73" spans="1:13">
      <c r="A73">
        <f>cleaned_data!M73</f>
        <v>674774.09</v>
      </c>
      <c r="B73">
        <f>cleaned_data!E73</f>
        <v>55081.16</v>
      </c>
      <c r="C73">
        <f>cleaned_data!F73</f>
        <v>5485</v>
      </c>
      <c r="D73">
        <f>cleaned_data!G73</f>
        <v>3.5999999999999997E-2</v>
      </c>
      <c r="E73">
        <f>cleaned_data!I73</f>
        <v>88</v>
      </c>
      <c r="F73">
        <f>cleaned_data!L73</f>
        <v>3.5</v>
      </c>
      <c r="G73">
        <f>cleaned_data!K73</f>
        <v>0</v>
      </c>
      <c r="H73">
        <f>dummy_variables!F73</f>
        <v>0</v>
      </c>
      <c r="I73">
        <f>dummy_variables!G73</f>
        <v>0</v>
      </c>
      <c r="J73">
        <f>dummy_variables!H73</f>
        <v>0</v>
      </c>
      <c r="K73">
        <f>dummy_variables!I73</f>
        <v>0</v>
      </c>
      <c r="L73">
        <f>dummy_variables!J73</f>
        <v>1</v>
      </c>
      <c r="M73">
        <f>dummy_variables!K73</f>
        <v>0</v>
      </c>
    </row>
    <row r="74" spans="1:13">
      <c r="A74">
        <f>cleaned_data!M74</f>
        <v>616069.41</v>
      </c>
      <c r="B74">
        <f>cleaned_data!E74</f>
        <v>46201.46</v>
      </c>
      <c r="C74">
        <f>cleaned_data!F74</f>
        <v>5918</v>
      </c>
      <c r="D74">
        <f>cleaned_data!G74</f>
        <v>0.27700000000000002</v>
      </c>
      <c r="E74">
        <f>cleaned_data!I74</f>
        <v>78.8</v>
      </c>
      <c r="F74">
        <f>cleaned_data!L74</f>
        <v>4.5</v>
      </c>
      <c r="G74">
        <f>cleaned_data!K74</f>
        <v>0</v>
      </c>
      <c r="H74">
        <f>dummy_variables!F74</f>
        <v>0</v>
      </c>
      <c r="I74">
        <f>dummy_variables!G74</f>
        <v>0</v>
      </c>
      <c r="J74">
        <f>dummy_variables!H74</f>
        <v>0</v>
      </c>
      <c r="K74">
        <f>dummy_variables!I74</f>
        <v>0</v>
      </c>
      <c r="L74">
        <f>dummy_variables!J74</f>
        <v>0</v>
      </c>
      <c r="M74">
        <f>dummy_variables!K74</f>
        <v>0</v>
      </c>
    </row>
    <row r="75" spans="1:13">
      <c r="A75">
        <f>cleaned_data!M75</f>
        <v>630829.93999999994</v>
      </c>
      <c r="B75">
        <f>cleaned_data!E75</f>
        <v>53762.92</v>
      </c>
      <c r="C75">
        <f>cleaned_data!F75</f>
        <v>6821</v>
      </c>
      <c r="D75">
        <f>cleaned_data!G75</f>
        <v>6.6000000000000003E-2</v>
      </c>
      <c r="E75">
        <f>cleaned_data!I75</f>
        <v>94.6</v>
      </c>
      <c r="F75">
        <f>cleaned_data!L75</f>
        <v>4.4000000000000004</v>
      </c>
      <c r="G75">
        <f>cleaned_data!K75</f>
        <v>0</v>
      </c>
      <c r="H75">
        <f>dummy_variables!F75</f>
        <v>0</v>
      </c>
      <c r="I75">
        <f>dummy_variables!G75</f>
        <v>0</v>
      </c>
      <c r="J75">
        <f>dummy_variables!H75</f>
        <v>0</v>
      </c>
      <c r="K75">
        <f>dummy_variables!I75</f>
        <v>0</v>
      </c>
      <c r="L75">
        <f>dummy_variables!J75</f>
        <v>0</v>
      </c>
      <c r="M75">
        <f>dummy_variables!K75</f>
        <v>0</v>
      </c>
    </row>
    <row r="76" spans="1:13">
      <c r="A76">
        <f>cleaned_data!M76</f>
        <v>788087.68</v>
      </c>
      <c r="B76">
        <f>cleaned_data!E76</f>
        <v>70144.78</v>
      </c>
      <c r="C76">
        <f>cleaned_data!F76</f>
        <v>6806</v>
      </c>
      <c r="D76">
        <f>cleaned_data!G76</f>
        <v>0.17799999999999999</v>
      </c>
      <c r="E76">
        <f>cleaned_data!I76</f>
        <v>93.1</v>
      </c>
      <c r="F76">
        <f>cleaned_data!L76</f>
        <v>4.3</v>
      </c>
      <c r="G76">
        <f>cleaned_data!K76</f>
        <v>1</v>
      </c>
      <c r="H76">
        <f>dummy_variables!F76</f>
        <v>0</v>
      </c>
      <c r="I76">
        <f>dummy_variables!G76</f>
        <v>0</v>
      </c>
      <c r="J76">
        <f>dummy_variables!H76</f>
        <v>0</v>
      </c>
      <c r="K76">
        <f>dummy_variables!I76</f>
        <v>0</v>
      </c>
      <c r="L76">
        <f>dummy_variables!J76</f>
        <v>0</v>
      </c>
      <c r="M76">
        <f>dummy_variables!K76</f>
        <v>0</v>
      </c>
    </row>
    <row r="77" spans="1:13">
      <c r="A77">
        <f>cleaned_data!M77</f>
        <v>680840.36</v>
      </c>
      <c r="B77">
        <f>cleaned_data!E77</f>
        <v>58749.63</v>
      </c>
      <c r="C77">
        <f>cleaned_data!F77</f>
        <v>8252</v>
      </c>
      <c r="D77">
        <f>cleaned_data!G77</f>
        <v>0.20300000000000001</v>
      </c>
      <c r="E77">
        <f>cleaned_data!I77</f>
        <v>85.2</v>
      </c>
      <c r="F77">
        <f>cleaned_data!L77</f>
        <v>4.5</v>
      </c>
      <c r="G77">
        <f>cleaned_data!K77</f>
        <v>0</v>
      </c>
      <c r="H77">
        <f>dummy_variables!F77</f>
        <v>0</v>
      </c>
      <c r="I77">
        <f>dummy_variables!G77</f>
        <v>0</v>
      </c>
      <c r="J77">
        <f>dummy_variables!H77</f>
        <v>0</v>
      </c>
      <c r="K77">
        <f>dummy_variables!I77</f>
        <v>0</v>
      </c>
      <c r="L77">
        <f>dummy_variables!J77</f>
        <v>0</v>
      </c>
      <c r="M77">
        <f>dummy_variables!K77</f>
        <v>0</v>
      </c>
    </row>
    <row r="78" spans="1:13">
      <c r="A78">
        <f>cleaned_data!M78</f>
        <v>643657.47</v>
      </c>
      <c r="B78">
        <f>cleaned_data!E78</f>
        <v>56973.18</v>
      </c>
      <c r="C78">
        <f>cleaned_data!F78</f>
        <v>6662</v>
      </c>
      <c r="D78">
        <f>cleaned_data!G78</f>
        <v>0.1</v>
      </c>
      <c r="E78">
        <f>cleaned_data!I78</f>
        <v>77.7</v>
      </c>
      <c r="F78">
        <f>cleaned_data!L78</f>
        <v>3.2</v>
      </c>
      <c r="G78">
        <f>cleaned_data!K78</f>
        <v>1</v>
      </c>
      <c r="H78">
        <f>dummy_variables!F78</f>
        <v>0</v>
      </c>
      <c r="I78">
        <f>dummy_variables!G78</f>
        <v>1</v>
      </c>
      <c r="J78">
        <f>dummy_variables!H78</f>
        <v>0</v>
      </c>
      <c r="K78">
        <f>dummy_variables!I78</f>
        <v>0</v>
      </c>
      <c r="L78">
        <f>dummy_variables!J78</f>
        <v>1</v>
      </c>
      <c r="M78">
        <f>dummy_variables!K78</f>
        <v>0</v>
      </c>
    </row>
    <row r="79" spans="1:13">
      <c r="A79">
        <f>cleaned_data!M79</f>
        <v>691112.6</v>
      </c>
      <c r="B79">
        <f>cleaned_data!E79</f>
        <v>54872.82</v>
      </c>
      <c r="C79">
        <f>cleaned_data!F79</f>
        <v>5962</v>
      </c>
      <c r="D79">
        <f>cleaned_data!G79</f>
        <v>6.4000000000000001E-2</v>
      </c>
      <c r="E79">
        <f>cleaned_data!I79</f>
        <v>85.4</v>
      </c>
      <c r="F79">
        <f>cleaned_data!L79</f>
        <v>2.9</v>
      </c>
      <c r="G79">
        <f>cleaned_data!K79</f>
        <v>0</v>
      </c>
      <c r="H79">
        <f>dummy_variables!F79</f>
        <v>0</v>
      </c>
      <c r="I79">
        <f>dummy_variables!G79</f>
        <v>1</v>
      </c>
      <c r="J79">
        <f>dummy_variables!H79</f>
        <v>0</v>
      </c>
      <c r="K79">
        <f>dummy_variables!I79</f>
        <v>0</v>
      </c>
      <c r="L79">
        <f>dummy_variables!J79</f>
        <v>1</v>
      </c>
      <c r="M79">
        <f>dummy_variables!K79</f>
        <v>0</v>
      </c>
    </row>
    <row r="80" spans="1:13">
      <c r="A80">
        <f>cleaned_data!M80</f>
        <v>776922.17</v>
      </c>
      <c r="B80">
        <f>cleaned_data!E80</f>
        <v>80562.81</v>
      </c>
      <c r="C80">
        <f>cleaned_data!F80</f>
        <v>7470</v>
      </c>
      <c r="D80">
        <f>cleaned_data!G80</f>
        <v>0.17199999999999999</v>
      </c>
      <c r="E80">
        <f>cleaned_data!I80</f>
        <v>83.5</v>
      </c>
      <c r="F80">
        <f>cleaned_data!L80</f>
        <v>3.3</v>
      </c>
      <c r="G80">
        <f>cleaned_data!K80</f>
        <v>0</v>
      </c>
      <c r="H80">
        <f>dummy_variables!F80</f>
        <v>0</v>
      </c>
      <c r="I80">
        <f>dummy_variables!G80</f>
        <v>1</v>
      </c>
      <c r="J80">
        <f>dummy_variables!H80</f>
        <v>0</v>
      </c>
      <c r="K80">
        <f>dummy_variables!I80</f>
        <v>0</v>
      </c>
      <c r="L80">
        <f>dummy_variables!J80</f>
        <v>1</v>
      </c>
      <c r="M80">
        <f>dummy_variables!K80</f>
        <v>0</v>
      </c>
    </row>
    <row r="81" spans="1:13">
      <c r="A81">
        <f>cleaned_data!M81</f>
        <v>636561.34</v>
      </c>
      <c r="B81">
        <f>cleaned_data!E81</f>
        <v>77999.899999999994</v>
      </c>
      <c r="C81">
        <f>cleaned_data!F81</f>
        <v>5974</v>
      </c>
      <c r="D81">
        <f>cleaned_data!G81</f>
        <v>0.252</v>
      </c>
      <c r="E81">
        <f>cleaned_data!I81</f>
        <v>81.3</v>
      </c>
      <c r="F81">
        <f>cleaned_data!L81</f>
        <v>3.2</v>
      </c>
      <c r="G81">
        <f>cleaned_data!K81</f>
        <v>0</v>
      </c>
      <c r="H81">
        <f>dummy_variables!F81</f>
        <v>0</v>
      </c>
      <c r="I81">
        <f>dummy_variables!G81</f>
        <v>1</v>
      </c>
      <c r="J81">
        <f>dummy_variables!H81</f>
        <v>0</v>
      </c>
      <c r="K81">
        <f>dummy_variables!I81</f>
        <v>0</v>
      </c>
      <c r="L81">
        <f>dummy_variables!J81</f>
        <v>1</v>
      </c>
      <c r="M81">
        <f>dummy_variables!K81</f>
        <v>0</v>
      </c>
    </row>
    <row r="82" spans="1:13">
      <c r="A82">
        <f>cleaned_data!M82</f>
        <v>621369.57999999996</v>
      </c>
      <c r="B82">
        <f>cleaned_data!E82</f>
        <v>60881.01</v>
      </c>
      <c r="C82">
        <f>cleaned_data!F82</f>
        <v>5410</v>
      </c>
      <c r="D82">
        <f>cleaned_data!G82</f>
        <v>0.17899999999999999</v>
      </c>
      <c r="E82">
        <f>cleaned_data!I82</f>
        <v>83.9</v>
      </c>
      <c r="F82">
        <f>cleaned_data!L82</f>
        <v>4.5999999999999996</v>
      </c>
      <c r="G82">
        <f>cleaned_data!K82</f>
        <v>0</v>
      </c>
      <c r="H82">
        <f>dummy_variables!F82</f>
        <v>0</v>
      </c>
      <c r="I82">
        <f>dummy_variables!G82</f>
        <v>0</v>
      </c>
      <c r="J82">
        <f>dummy_variables!H82</f>
        <v>1</v>
      </c>
      <c r="K82">
        <f>dummy_variables!I82</f>
        <v>0</v>
      </c>
      <c r="L82">
        <f>dummy_variables!J82</f>
        <v>0</v>
      </c>
      <c r="M82">
        <f>dummy_variables!K82</f>
        <v>1</v>
      </c>
    </row>
    <row r="83" spans="1:13">
      <c r="A83">
        <f>cleaned_data!M83</f>
        <v>682208.01</v>
      </c>
      <c r="B83">
        <f>cleaned_data!E83</f>
        <v>60628.38</v>
      </c>
      <c r="C83">
        <f>cleaned_data!F83</f>
        <v>4451</v>
      </c>
      <c r="D83">
        <f>cleaned_data!G83</f>
        <v>9.5000000000000001E-2</v>
      </c>
      <c r="E83">
        <f>cleaned_data!I83</f>
        <v>89.6</v>
      </c>
      <c r="F83">
        <f>cleaned_data!L83</f>
        <v>4.5999999999999996</v>
      </c>
      <c r="G83">
        <f>cleaned_data!K83</f>
        <v>0</v>
      </c>
      <c r="H83">
        <f>dummy_variables!F83</f>
        <v>0</v>
      </c>
      <c r="I83">
        <f>dummy_variables!G83</f>
        <v>0</v>
      </c>
      <c r="J83">
        <f>dummy_variables!H83</f>
        <v>1</v>
      </c>
      <c r="K83">
        <f>dummy_variables!I83</f>
        <v>0</v>
      </c>
      <c r="L83">
        <f>dummy_variables!J83</f>
        <v>0</v>
      </c>
      <c r="M83">
        <f>dummy_variables!K83</f>
        <v>1</v>
      </c>
    </row>
    <row r="84" spans="1:13">
      <c r="A84">
        <f>cleaned_data!M84</f>
        <v>727241.86</v>
      </c>
      <c r="B84">
        <f>cleaned_data!E84</f>
        <v>72731.14</v>
      </c>
      <c r="C84">
        <f>cleaned_data!F84</f>
        <v>4644</v>
      </c>
      <c r="D84">
        <f>cleaned_data!G84</f>
        <v>8.4000000000000005E-2</v>
      </c>
      <c r="E84">
        <f>cleaned_data!I84</f>
        <v>87.1</v>
      </c>
      <c r="F84">
        <f>cleaned_data!L84</f>
        <v>4.5999999999999996</v>
      </c>
      <c r="G84">
        <f>cleaned_data!K84</f>
        <v>0</v>
      </c>
      <c r="H84">
        <f>dummy_variables!F84</f>
        <v>0</v>
      </c>
      <c r="I84">
        <f>dummy_variables!G84</f>
        <v>0</v>
      </c>
      <c r="J84">
        <f>dummy_variables!H84</f>
        <v>1</v>
      </c>
      <c r="K84">
        <f>dummy_variables!I84</f>
        <v>0</v>
      </c>
      <c r="L84">
        <f>dummy_variables!J84</f>
        <v>0</v>
      </c>
      <c r="M84">
        <f>dummy_variables!K84</f>
        <v>1</v>
      </c>
    </row>
    <row r="85" spans="1:13">
      <c r="A85">
        <f>cleaned_data!M85</f>
        <v>569100.78</v>
      </c>
      <c r="B85">
        <f>cleaned_data!E85</f>
        <v>36475.71</v>
      </c>
      <c r="C85">
        <f>cleaned_data!F85</f>
        <v>3559</v>
      </c>
      <c r="D85">
        <f>cleaned_data!G85</f>
        <v>0.03</v>
      </c>
      <c r="E85">
        <f>cleaned_data!I85</f>
        <v>83.6</v>
      </c>
      <c r="F85">
        <f>cleaned_data!L85</f>
        <v>4.2</v>
      </c>
      <c r="G85">
        <f>cleaned_data!K85</f>
        <v>0</v>
      </c>
      <c r="H85">
        <f>dummy_variables!F85</f>
        <v>0</v>
      </c>
      <c r="I85">
        <f>dummy_variables!G85</f>
        <v>0</v>
      </c>
      <c r="J85">
        <f>dummy_variables!H85</f>
        <v>1</v>
      </c>
      <c r="K85">
        <f>dummy_variables!I85</f>
        <v>0</v>
      </c>
      <c r="L85">
        <f>dummy_variables!J85</f>
        <v>0</v>
      </c>
      <c r="M85">
        <f>dummy_variables!K85</f>
        <v>1</v>
      </c>
    </row>
    <row r="86" spans="1:13">
      <c r="A86">
        <f>cleaned_data!M86</f>
        <v>574436.29</v>
      </c>
      <c r="B86">
        <f>cleaned_data!E86</f>
        <v>55388.11</v>
      </c>
      <c r="C86">
        <f>cleaned_data!F86</f>
        <v>3091</v>
      </c>
      <c r="D86">
        <f>cleaned_data!G86</f>
        <v>0.108</v>
      </c>
      <c r="E86">
        <f>cleaned_data!I86</f>
        <v>85.4</v>
      </c>
      <c r="F86">
        <f>cleaned_data!L86</f>
        <v>4.9000000000000004</v>
      </c>
      <c r="G86">
        <f>cleaned_data!K86</f>
        <v>0</v>
      </c>
      <c r="H86">
        <f>dummy_variables!F86</f>
        <v>0</v>
      </c>
      <c r="I86">
        <f>dummy_variables!G86</f>
        <v>0</v>
      </c>
      <c r="J86">
        <f>dummy_variables!H86</f>
        <v>1</v>
      </c>
      <c r="K86">
        <f>dummy_variables!I86</f>
        <v>0</v>
      </c>
      <c r="L86">
        <f>dummy_variables!J86</f>
        <v>1</v>
      </c>
      <c r="M86">
        <f>dummy_variables!K86</f>
        <v>0</v>
      </c>
    </row>
    <row r="87" spans="1:13">
      <c r="A87">
        <f>cleaned_data!M87</f>
        <v>611766.72</v>
      </c>
      <c r="B87">
        <f>cleaned_data!E87</f>
        <v>88443.77</v>
      </c>
      <c r="C87">
        <f>cleaned_data!F87</f>
        <v>4004</v>
      </c>
      <c r="D87">
        <f>cleaned_data!G87</f>
        <v>0.20599999999999999</v>
      </c>
      <c r="E87">
        <f>cleaned_data!I87</f>
        <v>91.9</v>
      </c>
      <c r="F87">
        <f>cleaned_data!L87</f>
        <v>3.9</v>
      </c>
      <c r="G87">
        <f>cleaned_data!K87</f>
        <v>0</v>
      </c>
      <c r="H87">
        <f>dummy_variables!F87</f>
        <v>0</v>
      </c>
      <c r="I87">
        <f>dummy_variables!G87</f>
        <v>0</v>
      </c>
      <c r="J87">
        <f>dummy_variables!H87</f>
        <v>1</v>
      </c>
      <c r="K87">
        <f>dummy_variables!I87</f>
        <v>0</v>
      </c>
      <c r="L87">
        <f>dummy_variables!J87</f>
        <v>1</v>
      </c>
      <c r="M87">
        <f>dummy_variables!K87</f>
        <v>0</v>
      </c>
    </row>
    <row r="88" spans="1:13">
      <c r="A88">
        <f>cleaned_data!M88</f>
        <v>614596.31999999995</v>
      </c>
      <c r="B88">
        <f>cleaned_data!E88</f>
        <v>78231.91</v>
      </c>
      <c r="C88">
        <f>cleaned_data!F88</f>
        <v>3788</v>
      </c>
      <c r="D88">
        <f>cleaned_data!G88</f>
        <v>5.8999999999999997E-2</v>
      </c>
      <c r="E88">
        <f>cleaned_data!I88</f>
        <v>88.5</v>
      </c>
      <c r="F88">
        <f>cleaned_data!L88</f>
        <v>4.3</v>
      </c>
      <c r="G88">
        <f>cleaned_data!K88</f>
        <v>0</v>
      </c>
      <c r="H88">
        <f>dummy_variables!F88</f>
        <v>0</v>
      </c>
      <c r="I88">
        <f>dummy_variables!G88</f>
        <v>0</v>
      </c>
      <c r="J88">
        <f>dummy_variables!H88</f>
        <v>1</v>
      </c>
      <c r="K88">
        <f>dummy_variables!I88</f>
        <v>0</v>
      </c>
      <c r="L88">
        <f>dummy_variables!J88</f>
        <v>1</v>
      </c>
      <c r="M88">
        <f>dummy_variables!K88</f>
        <v>0</v>
      </c>
    </row>
    <row r="89" spans="1:13">
      <c r="A89">
        <f>cleaned_data!M89</f>
        <v>450711.92</v>
      </c>
      <c r="B89">
        <f>cleaned_data!E89</f>
        <v>18996.32</v>
      </c>
      <c r="C89">
        <f>cleaned_data!F89</f>
        <v>1260</v>
      </c>
      <c r="D89">
        <f>cleaned_data!G89</f>
        <v>0.14499999999999999</v>
      </c>
      <c r="E89">
        <f>cleaned_data!I89</f>
        <v>86.4</v>
      </c>
      <c r="F89">
        <f>cleaned_data!L89</f>
        <v>4.5999999999999996</v>
      </c>
      <c r="G89">
        <f>cleaned_data!K89</f>
        <v>0</v>
      </c>
      <c r="H89">
        <f>dummy_variables!F89</f>
        <v>0</v>
      </c>
      <c r="I89">
        <f>dummy_variables!G89</f>
        <v>0</v>
      </c>
      <c r="J89">
        <f>dummy_variables!H89</f>
        <v>1</v>
      </c>
      <c r="K89">
        <f>dummy_variables!I89</f>
        <v>0</v>
      </c>
      <c r="L89">
        <f>dummy_variables!J89</f>
        <v>1</v>
      </c>
      <c r="M89">
        <f>dummy_variables!K89</f>
        <v>0</v>
      </c>
    </row>
    <row r="90" spans="1:13">
      <c r="A90">
        <f>cleaned_data!M90</f>
        <v>711213.46</v>
      </c>
      <c r="B90">
        <f>cleaned_data!E90</f>
        <v>50517.94</v>
      </c>
      <c r="C90">
        <f>cleaned_data!F90</f>
        <v>7024</v>
      </c>
      <c r="D90">
        <f>cleaned_data!G90</f>
        <v>2.9000000000000001E-2</v>
      </c>
      <c r="E90">
        <f>cleaned_data!I90</f>
        <v>79.2</v>
      </c>
      <c r="F90">
        <f>cleaned_data!L90</f>
        <v>4.0999999999999996</v>
      </c>
      <c r="G90">
        <f>cleaned_data!K90</f>
        <v>1</v>
      </c>
      <c r="H90">
        <f>dummy_variables!F90</f>
        <v>0</v>
      </c>
      <c r="I90">
        <f>dummy_variables!G90</f>
        <v>1</v>
      </c>
      <c r="J90">
        <f>dummy_variables!H90</f>
        <v>0</v>
      </c>
      <c r="K90">
        <f>dummy_variables!I90</f>
        <v>0</v>
      </c>
      <c r="L90">
        <f>dummy_variables!J90</f>
        <v>0</v>
      </c>
      <c r="M90">
        <f>dummy_variables!K90</f>
        <v>1</v>
      </c>
    </row>
    <row r="91" spans="1:13">
      <c r="A91">
        <f>cleaned_data!M91</f>
        <v>627171.9</v>
      </c>
      <c r="B91">
        <f>cleaned_data!E91</f>
        <v>141540.29</v>
      </c>
      <c r="C91">
        <f>cleaned_data!F91</f>
        <v>5400</v>
      </c>
      <c r="D91">
        <f>cleaned_data!G91</f>
        <v>1.2999999999999999E-2</v>
      </c>
      <c r="E91">
        <f>cleaned_data!I91</f>
        <v>87</v>
      </c>
      <c r="F91">
        <f>cleaned_data!L91</f>
        <v>4.5</v>
      </c>
      <c r="G91">
        <f>cleaned_data!K91</f>
        <v>0</v>
      </c>
      <c r="H91">
        <f>dummy_variables!F91</f>
        <v>0</v>
      </c>
      <c r="I91">
        <f>dummy_variables!G91</f>
        <v>1</v>
      </c>
      <c r="J91">
        <f>dummy_variables!H91</f>
        <v>0</v>
      </c>
      <c r="K91">
        <f>dummy_variables!I91</f>
        <v>0</v>
      </c>
      <c r="L91">
        <f>dummy_variables!J91</f>
        <v>0</v>
      </c>
      <c r="M91">
        <f>dummy_variables!K91</f>
        <v>1</v>
      </c>
    </row>
    <row r="92" spans="1:13">
      <c r="A92">
        <f>cleaned_data!M92</f>
        <v>739852.58</v>
      </c>
      <c r="B92">
        <f>cleaned_data!E92</f>
        <v>82116.19</v>
      </c>
      <c r="C92">
        <f>cleaned_data!F92</f>
        <v>5988</v>
      </c>
      <c r="D92">
        <f>cleaned_data!G92</f>
        <v>0.04</v>
      </c>
      <c r="E92">
        <f>cleaned_data!I92</f>
        <v>91.8</v>
      </c>
      <c r="F92">
        <f>cleaned_data!L92</f>
        <v>4.7</v>
      </c>
      <c r="G92">
        <f>cleaned_data!K92</f>
        <v>0</v>
      </c>
      <c r="H92">
        <f>dummy_variables!F92</f>
        <v>0</v>
      </c>
      <c r="I92">
        <f>dummy_variables!G92</f>
        <v>1</v>
      </c>
      <c r="J92">
        <f>dummy_variables!H92</f>
        <v>0</v>
      </c>
      <c r="K92">
        <f>dummy_variables!I92</f>
        <v>0</v>
      </c>
      <c r="L92">
        <f>dummy_variables!J92</f>
        <v>0</v>
      </c>
      <c r="M92">
        <f>dummy_variables!K92</f>
        <v>1</v>
      </c>
    </row>
    <row r="93" spans="1:13">
      <c r="A93">
        <f>cleaned_data!M93</f>
        <v>586307.22</v>
      </c>
      <c r="B93">
        <f>cleaned_data!E93</f>
        <v>31207.51</v>
      </c>
      <c r="C93">
        <f>cleaned_data!F93</f>
        <v>3701</v>
      </c>
      <c r="D93">
        <f>cleaned_data!G93</f>
        <v>4.2999999999999997E-2</v>
      </c>
      <c r="E93">
        <f>cleaned_data!I93</f>
        <v>84.7</v>
      </c>
      <c r="F93">
        <f>cleaned_data!L93</f>
        <v>4.3</v>
      </c>
      <c r="G93">
        <f>cleaned_data!K93</f>
        <v>0</v>
      </c>
      <c r="H93">
        <f>dummy_variables!F93</f>
        <v>0</v>
      </c>
      <c r="I93">
        <f>dummy_variables!G93</f>
        <v>1</v>
      </c>
      <c r="J93">
        <f>dummy_variables!H93</f>
        <v>0</v>
      </c>
      <c r="K93">
        <f>dummy_variables!I93</f>
        <v>0</v>
      </c>
      <c r="L93">
        <f>dummy_variables!J93</f>
        <v>0</v>
      </c>
      <c r="M93">
        <f>dummy_variables!K93</f>
        <v>1</v>
      </c>
    </row>
    <row r="94" spans="1:13">
      <c r="A94">
        <f>cleaned_data!M94</f>
        <v>585937.48</v>
      </c>
      <c r="B94">
        <f>cleaned_data!E94</f>
        <v>38966.589999999997</v>
      </c>
      <c r="C94">
        <f>cleaned_data!F94</f>
        <v>4509</v>
      </c>
      <c r="D94">
        <f>cleaned_data!G94</f>
        <v>0.19400000000000001</v>
      </c>
      <c r="E94">
        <f>cleaned_data!I94</f>
        <v>91.1</v>
      </c>
      <c r="F94">
        <f>cleaned_data!L94</f>
        <v>4.5999999999999996</v>
      </c>
      <c r="G94">
        <f>cleaned_data!K94</f>
        <v>0</v>
      </c>
      <c r="H94">
        <f>dummy_variables!F94</f>
        <v>0</v>
      </c>
      <c r="I94">
        <f>dummy_variables!G94</f>
        <v>0</v>
      </c>
      <c r="J94">
        <f>dummy_variables!H94</f>
        <v>1</v>
      </c>
      <c r="K94">
        <f>dummy_variables!I94</f>
        <v>0</v>
      </c>
      <c r="L94">
        <f>dummy_variables!J94</f>
        <v>0</v>
      </c>
      <c r="M94">
        <f>dummy_variables!K94</f>
        <v>0</v>
      </c>
    </row>
    <row r="95" spans="1:13">
      <c r="A95">
        <f>cleaned_data!M95</f>
        <v>753473.55</v>
      </c>
      <c r="B95">
        <f>cleaned_data!E95</f>
        <v>67439.3</v>
      </c>
      <c r="C95">
        <f>cleaned_data!F95</f>
        <v>6477</v>
      </c>
      <c r="D95">
        <f>cleaned_data!G95</f>
        <v>0</v>
      </c>
      <c r="E95">
        <f>cleaned_data!I95</f>
        <v>90.9</v>
      </c>
      <c r="F95">
        <f>cleaned_data!L95</f>
        <v>4.5</v>
      </c>
      <c r="G95">
        <f>cleaned_data!K95</f>
        <v>0</v>
      </c>
      <c r="H95">
        <f>dummy_variables!F95</f>
        <v>0</v>
      </c>
      <c r="I95">
        <f>dummy_variables!G95</f>
        <v>0</v>
      </c>
      <c r="J95">
        <f>dummy_variables!H95</f>
        <v>1</v>
      </c>
      <c r="K95">
        <f>dummy_variables!I95</f>
        <v>0</v>
      </c>
      <c r="L95">
        <f>dummy_variables!J95</f>
        <v>0</v>
      </c>
      <c r="M95">
        <f>dummy_variables!K95</f>
        <v>0</v>
      </c>
    </row>
    <row r="96" spans="1:13">
      <c r="A96">
        <f>cleaned_data!M96</f>
        <v>838250.32</v>
      </c>
      <c r="B96">
        <f>cleaned_data!E96</f>
        <v>86421.88</v>
      </c>
      <c r="C96">
        <f>cleaned_data!F96</f>
        <v>7970</v>
      </c>
      <c r="D96">
        <f>cleaned_data!G96</f>
        <v>7.2999999999999995E-2</v>
      </c>
      <c r="E96">
        <f>cleaned_data!I96</f>
        <v>91.3</v>
      </c>
      <c r="F96">
        <f>cleaned_data!L96</f>
        <v>5</v>
      </c>
      <c r="G96">
        <f>cleaned_data!K96</f>
        <v>0</v>
      </c>
      <c r="H96">
        <f>dummy_variables!F96</f>
        <v>0</v>
      </c>
      <c r="I96">
        <f>dummy_variables!G96</f>
        <v>0</v>
      </c>
      <c r="J96">
        <f>dummy_variables!H96</f>
        <v>1</v>
      </c>
      <c r="K96">
        <f>dummy_variables!I96</f>
        <v>0</v>
      </c>
      <c r="L96">
        <f>dummy_variables!J96</f>
        <v>0</v>
      </c>
      <c r="M96">
        <f>dummy_variables!K96</f>
        <v>0</v>
      </c>
    </row>
    <row r="97" spans="1:13">
      <c r="A97">
        <f>cleaned_data!M97</f>
        <v>607898.12</v>
      </c>
      <c r="B97">
        <f>cleaned_data!E97</f>
        <v>9534.65</v>
      </c>
      <c r="C97">
        <f>cleaned_data!F97</f>
        <v>6057</v>
      </c>
      <c r="D97">
        <f>cleaned_data!G97</f>
        <v>7.3999999999999996E-2</v>
      </c>
      <c r="E97">
        <f>cleaned_data!I97</f>
        <v>94.1</v>
      </c>
      <c r="F97">
        <f>cleaned_data!L97</f>
        <v>4.5</v>
      </c>
      <c r="G97">
        <f>cleaned_data!K97</f>
        <v>0</v>
      </c>
      <c r="H97">
        <f>dummy_variables!F97</f>
        <v>0</v>
      </c>
      <c r="I97">
        <f>dummy_variables!G97</f>
        <v>0</v>
      </c>
      <c r="J97">
        <f>dummy_variables!H97</f>
        <v>1</v>
      </c>
      <c r="K97">
        <f>dummy_variables!I97</f>
        <v>0</v>
      </c>
      <c r="L97">
        <f>dummy_variables!J97</f>
        <v>0</v>
      </c>
      <c r="M97">
        <f>dummy_variables!K97</f>
        <v>0</v>
      </c>
    </row>
    <row r="98" spans="1:13">
      <c r="A98">
        <f>cleaned_data!M98</f>
        <v>691113.62</v>
      </c>
      <c r="B98">
        <f>cleaned_data!E98</f>
        <v>61132.07</v>
      </c>
      <c r="C98">
        <f>cleaned_data!F98</f>
        <v>6394</v>
      </c>
      <c r="D98">
        <f>cleaned_data!G98</f>
        <v>0.16300000000000001</v>
      </c>
      <c r="E98">
        <f>cleaned_data!I98</f>
        <v>91</v>
      </c>
      <c r="F98">
        <f>cleaned_data!L98</f>
        <v>4.4000000000000004</v>
      </c>
      <c r="G98">
        <f>cleaned_data!K98</f>
        <v>0</v>
      </c>
      <c r="H98">
        <f>dummy_variables!F98</f>
        <v>0</v>
      </c>
      <c r="I98">
        <f>dummy_variables!G98</f>
        <v>0</v>
      </c>
      <c r="J98">
        <f>dummy_variables!H98</f>
        <v>1</v>
      </c>
      <c r="K98">
        <f>dummy_variables!I98</f>
        <v>0</v>
      </c>
      <c r="L98">
        <f>dummy_variables!J98</f>
        <v>0</v>
      </c>
      <c r="M98">
        <f>dummy_variables!K98</f>
        <v>1</v>
      </c>
    </row>
    <row r="99" spans="1:13">
      <c r="A99">
        <f>cleaned_data!M99</f>
        <v>735509.4</v>
      </c>
      <c r="B99">
        <f>cleaned_data!E99</f>
        <v>78839.39</v>
      </c>
      <c r="C99">
        <f>cleaned_data!F99</f>
        <v>5150</v>
      </c>
      <c r="D99">
        <f>cleaned_data!G99</f>
        <v>0.17100000000000001</v>
      </c>
      <c r="E99">
        <f>cleaned_data!I99</f>
        <v>85.8</v>
      </c>
      <c r="F99">
        <f>cleaned_data!L99</f>
        <v>4.3</v>
      </c>
      <c r="G99">
        <f>cleaned_data!K99</f>
        <v>0</v>
      </c>
      <c r="H99">
        <f>dummy_variables!F99</f>
        <v>0</v>
      </c>
      <c r="I99">
        <f>dummy_variables!G99</f>
        <v>0</v>
      </c>
      <c r="J99">
        <f>dummy_variables!H99</f>
        <v>1</v>
      </c>
      <c r="K99">
        <f>dummy_variables!I99</f>
        <v>0</v>
      </c>
      <c r="L99">
        <f>dummy_variables!J99</f>
        <v>0</v>
      </c>
      <c r="M99">
        <f>dummy_variables!K99</f>
        <v>1</v>
      </c>
    </row>
    <row r="100" spans="1:13">
      <c r="A100">
        <f>cleaned_data!M100</f>
        <v>605775.32999999996</v>
      </c>
      <c r="B100">
        <f>cleaned_data!E100</f>
        <v>38752.800000000003</v>
      </c>
      <c r="C100">
        <f>cleaned_data!F100</f>
        <v>4712</v>
      </c>
      <c r="D100">
        <f>cleaned_data!G100</f>
        <v>7.4999999999999997E-2</v>
      </c>
      <c r="E100">
        <f>cleaned_data!I100</f>
        <v>89.7</v>
      </c>
      <c r="F100">
        <f>cleaned_data!L100</f>
        <v>4.3</v>
      </c>
      <c r="G100">
        <f>cleaned_data!K100</f>
        <v>0</v>
      </c>
      <c r="H100">
        <f>dummy_variables!F100</f>
        <v>0</v>
      </c>
      <c r="I100">
        <f>dummy_variables!G100</f>
        <v>0</v>
      </c>
      <c r="J100">
        <f>dummy_variables!H100</f>
        <v>1</v>
      </c>
      <c r="K100">
        <f>dummy_variables!I100</f>
        <v>0</v>
      </c>
      <c r="L100">
        <f>dummy_variables!J100</f>
        <v>0</v>
      </c>
      <c r="M100">
        <f>dummy_variables!K100</f>
        <v>1</v>
      </c>
    </row>
    <row r="101" spans="1:13">
      <c r="A101">
        <f>cleaned_data!M101</f>
        <v>675177.68</v>
      </c>
      <c r="B101">
        <f>cleaned_data!E101</f>
        <v>55101.1</v>
      </c>
      <c r="C101">
        <f>cleaned_data!F101</f>
        <v>5281</v>
      </c>
      <c r="D101">
        <f>cleaned_data!G101</f>
        <v>0.189</v>
      </c>
      <c r="E101">
        <f>cleaned_data!I101</f>
        <v>91</v>
      </c>
      <c r="F101">
        <f>cleaned_data!L101</f>
        <v>4.4000000000000004</v>
      </c>
      <c r="G101">
        <f>cleaned_data!K101</f>
        <v>0</v>
      </c>
      <c r="H101">
        <f>dummy_variables!F101</f>
        <v>0</v>
      </c>
      <c r="I101">
        <f>dummy_variables!G101</f>
        <v>0</v>
      </c>
      <c r="J101">
        <f>dummy_variables!H101</f>
        <v>1</v>
      </c>
      <c r="K101">
        <f>dummy_variables!I101</f>
        <v>0</v>
      </c>
      <c r="L101">
        <f>dummy_variables!J101</f>
        <v>0</v>
      </c>
      <c r="M101">
        <f>dummy_variables!K101</f>
        <v>1</v>
      </c>
    </row>
    <row r="102" spans="1:13">
      <c r="A102">
        <f>cleaned_data!M102</f>
        <v>635181.35</v>
      </c>
      <c r="B102">
        <f>cleaned_data!E102</f>
        <v>53084.76</v>
      </c>
      <c r="C102">
        <f>cleaned_data!F102</f>
        <v>3642</v>
      </c>
      <c r="D102">
        <f>cleaned_data!G102</f>
        <v>0.15</v>
      </c>
      <c r="E102">
        <f>cleaned_data!I102</f>
        <v>91.4</v>
      </c>
      <c r="F102">
        <f>cleaned_data!L102</f>
        <v>4.4000000000000004</v>
      </c>
      <c r="G102">
        <f>cleaned_data!K102</f>
        <v>0</v>
      </c>
      <c r="H102">
        <f>dummy_variables!F102</f>
        <v>0</v>
      </c>
      <c r="I102">
        <f>dummy_variables!G102</f>
        <v>0</v>
      </c>
      <c r="J102">
        <f>dummy_variables!H102</f>
        <v>0</v>
      </c>
      <c r="K102">
        <f>dummy_variables!I102</f>
        <v>0</v>
      </c>
      <c r="L102">
        <f>dummy_variables!J102</f>
        <v>0</v>
      </c>
      <c r="M102">
        <f>dummy_variables!K102</f>
        <v>1</v>
      </c>
    </row>
    <row r="103" spans="1:13">
      <c r="A103">
        <f>cleaned_data!M103</f>
        <v>586626.93999999994</v>
      </c>
      <c r="B103">
        <f>cleaned_data!E103</f>
        <v>63101.59</v>
      </c>
      <c r="C103">
        <f>cleaned_data!F103</f>
        <v>4373</v>
      </c>
      <c r="D103">
        <f>cleaned_data!G103</f>
        <v>0.17299999999999999</v>
      </c>
      <c r="E103">
        <f>cleaned_data!I103</f>
        <v>90.4</v>
      </c>
      <c r="F103">
        <f>cleaned_data!L103</f>
        <v>4.7</v>
      </c>
      <c r="G103">
        <f>cleaned_data!K103</f>
        <v>0</v>
      </c>
      <c r="H103">
        <f>dummy_variables!F103</f>
        <v>0</v>
      </c>
      <c r="I103">
        <f>dummy_variables!G103</f>
        <v>0</v>
      </c>
      <c r="J103">
        <f>dummy_variables!H103</f>
        <v>0</v>
      </c>
      <c r="K103">
        <f>dummy_variables!I103</f>
        <v>0</v>
      </c>
      <c r="L103">
        <f>dummy_variables!J103</f>
        <v>0</v>
      </c>
      <c r="M103">
        <f>dummy_variables!K103</f>
        <v>1</v>
      </c>
    </row>
    <row r="104" spans="1:13">
      <c r="A104">
        <f>cleaned_data!M104</f>
        <v>740102.64</v>
      </c>
      <c r="B104">
        <f>cleaned_data!E104</f>
        <v>90084.4</v>
      </c>
      <c r="C104">
        <f>cleaned_data!F104</f>
        <v>6832</v>
      </c>
      <c r="D104">
        <f>cleaned_data!G104</f>
        <v>0.185</v>
      </c>
      <c r="E104">
        <f>cleaned_data!I104</f>
        <v>80.5</v>
      </c>
      <c r="F104">
        <f>cleaned_data!L104</f>
        <v>4.4000000000000004</v>
      </c>
      <c r="G104">
        <f>cleaned_data!K104</f>
        <v>1</v>
      </c>
      <c r="H104">
        <f>dummy_variables!F104</f>
        <v>0</v>
      </c>
      <c r="I104">
        <f>dummy_variables!G104</f>
        <v>0</v>
      </c>
      <c r="J104">
        <f>dummy_variables!H104</f>
        <v>0</v>
      </c>
      <c r="K104">
        <f>dummy_variables!I104</f>
        <v>0</v>
      </c>
      <c r="L104">
        <f>dummy_variables!J104</f>
        <v>0</v>
      </c>
      <c r="M104">
        <f>dummy_variables!K104</f>
        <v>1</v>
      </c>
    </row>
    <row r="105" spans="1:13">
      <c r="A105">
        <f>cleaned_data!M105</f>
        <v>625514.04</v>
      </c>
      <c r="B105">
        <f>cleaned_data!E105</f>
        <v>32266.639999999999</v>
      </c>
      <c r="C105">
        <f>cleaned_data!F105</f>
        <v>2414</v>
      </c>
      <c r="D105">
        <f>cleaned_data!G105</f>
        <v>0.08</v>
      </c>
      <c r="E105">
        <f>cleaned_data!I105</f>
        <v>92.1</v>
      </c>
      <c r="F105">
        <f>cleaned_data!L105</f>
        <v>5</v>
      </c>
      <c r="G105">
        <f>cleaned_data!K105</f>
        <v>0</v>
      </c>
      <c r="H105">
        <f>dummy_variables!F105</f>
        <v>0</v>
      </c>
      <c r="I105">
        <f>dummy_variables!G105</f>
        <v>0</v>
      </c>
      <c r="J105">
        <f>dummy_variables!H105</f>
        <v>0</v>
      </c>
      <c r="K105">
        <f>dummy_variables!I105</f>
        <v>0</v>
      </c>
      <c r="L105">
        <f>dummy_variables!J105</f>
        <v>0</v>
      </c>
      <c r="M105">
        <f>dummy_variables!K105</f>
        <v>1</v>
      </c>
    </row>
    <row r="106" spans="1:13">
      <c r="A106">
        <f>cleaned_data!M106</f>
        <v>727227.2</v>
      </c>
      <c r="B106">
        <f>cleaned_data!E106</f>
        <v>57919.07</v>
      </c>
      <c r="C106">
        <f>cleaned_data!F106</f>
        <v>7374</v>
      </c>
      <c r="D106">
        <f>cleaned_data!G106</f>
        <v>0.10299999999999999</v>
      </c>
      <c r="E106">
        <f>cleaned_data!I106</f>
        <v>82.3</v>
      </c>
      <c r="F106">
        <f>cleaned_data!L106</f>
        <v>2.9</v>
      </c>
      <c r="G106">
        <f>cleaned_data!K106</f>
        <v>0</v>
      </c>
      <c r="H106">
        <f>dummy_variables!F106</f>
        <v>0</v>
      </c>
      <c r="I106">
        <f>dummy_variables!G106</f>
        <v>0</v>
      </c>
      <c r="J106">
        <f>dummy_variables!H106</f>
        <v>1</v>
      </c>
      <c r="K106">
        <f>dummy_variables!I106</f>
        <v>0</v>
      </c>
      <c r="L106">
        <f>dummy_variables!J106</f>
        <v>1</v>
      </c>
      <c r="M106">
        <f>dummy_variables!K106</f>
        <v>0</v>
      </c>
    </row>
    <row r="107" spans="1:13">
      <c r="A107">
        <f>cleaned_data!M107</f>
        <v>783797.89</v>
      </c>
      <c r="B107">
        <f>cleaned_data!E107</f>
        <v>74679.350000000006</v>
      </c>
      <c r="C107">
        <f>cleaned_data!F107</f>
        <v>8739</v>
      </c>
      <c r="D107">
        <f>cleaned_data!G107</f>
        <v>5.6000000000000001E-2</v>
      </c>
      <c r="E107">
        <f>cleaned_data!I107</f>
        <v>91.8</v>
      </c>
      <c r="F107">
        <f>cleaned_data!L107</f>
        <v>3</v>
      </c>
      <c r="G107">
        <f>cleaned_data!K107</f>
        <v>0</v>
      </c>
      <c r="H107">
        <f>dummy_variables!F107</f>
        <v>0</v>
      </c>
      <c r="I107">
        <f>dummy_variables!G107</f>
        <v>0</v>
      </c>
      <c r="J107">
        <f>dummy_variables!H107</f>
        <v>1</v>
      </c>
      <c r="K107">
        <f>dummy_variables!I107</f>
        <v>0</v>
      </c>
      <c r="L107">
        <f>dummy_variables!J107</f>
        <v>1</v>
      </c>
      <c r="M107">
        <f>dummy_variables!K107</f>
        <v>0</v>
      </c>
    </row>
    <row r="108" spans="1:13">
      <c r="A108">
        <f>cleaned_data!M108</f>
        <v>795153.84</v>
      </c>
      <c r="B108">
        <f>cleaned_data!E108</f>
        <v>64294.23</v>
      </c>
      <c r="C108">
        <f>cleaned_data!F108</f>
        <v>6992</v>
      </c>
      <c r="D108">
        <f>cleaned_data!G108</f>
        <v>0.13300000000000001</v>
      </c>
      <c r="E108">
        <f>cleaned_data!I108</f>
        <v>94.1</v>
      </c>
      <c r="F108">
        <f>cleaned_data!L108</f>
        <v>3</v>
      </c>
      <c r="G108">
        <f>cleaned_data!K108</f>
        <v>0</v>
      </c>
      <c r="H108">
        <f>dummy_variables!F108</f>
        <v>0</v>
      </c>
      <c r="I108">
        <f>dummy_variables!G108</f>
        <v>0</v>
      </c>
      <c r="J108">
        <f>dummy_variables!H108</f>
        <v>1</v>
      </c>
      <c r="K108">
        <f>dummy_variables!I108</f>
        <v>0</v>
      </c>
      <c r="L108">
        <f>dummy_variables!J108</f>
        <v>1</v>
      </c>
      <c r="M108">
        <f>dummy_variables!K108</f>
        <v>0</v>
      </c>
    </row>
    <row r="109" spans="1:13">
      <c r="A109">
        <f>cleaned_data!M109</f>
        <v>665594.93999999994</v>
      </c>
      <c r="B109">
        <f>cleaned_data!E109</f>
        <v>31042.03</v>
      </c>
      <c r="C109">
        <f>cleaned_data!F109</f>
        <v>7107</v>
      </c>
      <c r="D109">
        <f>cleaned_data!G109</f>
        <v>5.0999999999999997E-2</v>
      </c>
      <c r="E109">
        <f>cleaned_data!I109</f>
        <v>87</v>
      </c>
      <c r="F109">
        <f>cleaned_data!L109</f>
        <v>3.2</v>
      </c>
      <c r="G109">
        <f>cleaned_data!K109</f>
        <v>0</v>
      </c>
      <c r="H109">
        <f>dummy_variables!F109</f>
        <v>0</v>
      </c>
      <c r="I109">
        <f>dummy_variables!G109</f>
        <v>0</v>
      </c>
      <c r="J109">
        <f>dummy_variables!H109</f>
        <v>1</v>
      </c>
      <c r="K109">
        <f>dummy_variables!I109</f>
        <v>0</v>
      </c>
      <c r="L109">
        <f>dummy_variables!J109</f>
        <v>1</v>
      </c>
      <c r="M109">
        <f>dummy_variables!K109</f>
        <v>0</v>
      </c>
    </row>
    <row r="110" spans="1:13">
      <c r="A110">
        <f>cleaned_data!M110</f>
        <v>709478.39</v>
      </c>
      <c r="B110">
        <f>cleaned_data!E110</f>
        <v>75265.02</v>
      </c>
      <c r="C110">
        <f>cleaned_data!F110</f>
        <v>6975</v>
      </c>
      <c r="D110">
        <f>cleaned_data!G110</f>
        <v>0.157</v>
      </c>
      <c r="E110">
        <f>cleaned_data!I110</f>
        <v>73.8</v>
      </c>
      <c r="F110">
        <f>cleaned_data!L110</f>
        <v>3.8</v>
      </c>
      <c r="G110">
        <f>cleaned_data!K110</f>
        <v>1</v>
      </c>
      <c r="H110">
        <f>dummy_variables!F110</f>
        <v>0</v>
      </c>
      <c r="I110">
        <f>dummy_variables!G110</f>
        <v>0</v>
      </c>
      <c r="J110">
        <f>dummy_variables!H110</f>
        <v>0</v>
      </c>
      <c r="K110">
        <f>dummy_variables!I110</f>
        <v>0</v>
      </c>
      <c r="L110">
        <f>dummy_variables!J110</f>
        <v>0</v>
      </c>
      <c r="M110">
        <f>dummy_variables!K110</f>
        <v>1</v>
      </c>
    </row>
    <row r="111" spans="1:13">
      <c r="A111">
        <f>cleaned_data!M111</f>
        <v>664162.49</v>
      </c>
      <c r="B111">
        <f>cleaned_data!E111</f>
        <v>69411.7</v>
      </c>
      <c r="C111">
        <f>cleaned_data!F111</f>
        <v>5493</v>
      </c>
      <c r="D111">
        <f>cleaned_data!G111</f>
        <v>0.29199999999999998</v>
      </c>
      <c r="E111">
        <f>cleaned_data!I111</f>
        <v>86.5</v>
      </c>
      <c r="F111">
        <f>cleaned_data!L111</f>
        <v>3.8</v>
      </c>
      <c r="G111">
        <f>cleaned_data!K111</f>
        <v>0</v>
      </c>
      <c r="H111">
        <f>dummy_variables!F111</f>
        <v>0</v>
      </c>
      <c r="I111">
        <f>dummy_variables!G111</f>
        <v>0</v>
      </c>
      <c r="J111">
        <f>dummy_variables!H111</f>
        <v>0</v>
      </c>
      <c r="K111">
        <f>dummy_variables!I111</f>
        <v>0</v>
      </c>
      <c r="L111">
        <f>dummy_variables!J111</f>
        <v>0</v>
      </c>
      <c r="M111">
        <f>dummy_variables!K111</f>
        <v>1</v>
      </c>
    </row>
    <row r="112" spans="1:13">
      <c r="A112">
        <f>cleaned_data!M112</f>
        <v>633494.21</v>
      </c>
      <c r="B112">
        <f>cleaned_data!E112</f>
        <v>51056.15</v>
      </c>
      <c r="C112">
        <f>cleaned_data!F112</f>
        <v>5686</v>
      </c>
      <c r="D112">
        <f>cleaned_data!G112</f>
        <v>8.8999999999999996E-2</v>
      </c>
      <c r="E112">
        <f>cleaned_data!I112</f>
        <v>89.9</v>
      </c>
      <c r="F112">
        <f>cleaned_data!L112</f>
        <v>4.2</v>
      </c>
      <c r="G112">
        <f>cleaned_data!K112</f>
        <v>0</v>
      </c>
      <c r="H112">
        <f>dummy_variables!F112</f>
        <v>0</v>
      </c>
      <c r="I112">
        <f>dummy_variables!G112</f>
        <v>0</v>
      </c>
      <c r="J112">
        <f>dummy_variables!H112</f>
        <v>0</v>
      </c>
      <c r="K112">
        <f>dummy_variables!I112</f>
        <v>0</v>
      </c>
      <c r="L112">
        <f>dummy_variables!J112</f>
        <v>0</v>
      </c>
      <c r="M112">
        <f>dummy_variables!K112</f>
        <v>1</v>
      </c>
    </row>
    <row r="113" spans="1:13">
      <c r="A113">
        <f>cleaned_data!M113</f>
        <v>713611.16</v>
      </c>
      <c r="B113">
        <f>cleaned_data!E113</f>
        <v>52758.01</v>
      </c>
      <c r="C113">
        <f>cleaned_data!F113</f>
        <v>4063</v>
      </c>
      <c r="D113">
        <f>cleaned_data!G113</f>
        <v>5.7000000000000002E-2</v>
      </c>
      <c r="E113">
        <f>cleaned_data!I113</f>
        <v>91.7</v>
      </c>
      <c r="F113">
        <f>cleaned_data!L113</f>
        <v>3.5</v>
      </c>
      <c r="G113">
        <f>cleaned_data!K113</f>
        <v>0</v>
      </c>
      <c r="H113">
        <f>dummy_variables!F113</f>
        <v>0</v>
      </c>
      <c r="I113">
        <f>dummy_variables!G113</f>
        <v>0</v>
      </c>
      <c r="J113">
        <f>dummy_variables!H113</f>
        <v>0</v>
      </c>
      <c r="K113">
        <f>dummy_variables!I113</f>
        <v>0</v>
      </c>
      <c r="L113">
        <f>dummy_variables!J113</f>
        <v>0</v>
      </c>
      <c r="M113">
        <f>dummy_variables!K113</f>
        <v>1</v>
      </c>
    </row>
    <row r="114" spans="1:13">
      <c r="A114">
        <f>cleaned_data!M114</f>
        <v>778397.97</v>
      </c>
      <c r="B114">
        <f>cleaned_data!E114</f>
        <v>61426.04</v>
      </c>
      <c r="C114">
        <f>cleaned_data!F114</f>
        <v>8966</v>
      </c>
      <c r="D114">
        <f>cleaned_data!G114</f>
        <v>0.17299999999999999</v>
      </c>
      <c r="E114">
        <f>cleaned_data!I114</f>
        <v>76.400000000000006</v>
      </c>
      <c r="F114">
        <f>cleaned_data!L114</f>
        <v>3.1</v>
      </c>
      <c r="G114">
        <f>cleaned_data!K114</f>
        <v>0</v>
      </c>
      <c r="H114">
        <f>dummy_variables!F114</f>
        <v>0</v>
      </c>
      <c r="I114">
        <f>dummy_variables!G114</f>
        <v>0</v>
      </c>
      <c r="J114">
        <f>dummy_variables!H114</f>
        <v>1</v>
      </c>
      <c r="K114">
        <f>dummy_variables!I114</f>
        <v>0</v>
      </c>
      <c r="L114">
        <f>dummy_variables!J114</f>
        <v>0</v>
      </c>
      <c r="M114">
        <f>dummy_variables!K114</f>
        <v>1</v>
      </c>
    </row>
    <row r="115" spans="1:13">
      <c r="A115">
        <f>cleaned_data!M115</f>
        <v>873380.02</v>
      </c>
      <c r="B115">
        <f>cleaned_data!E115</f>
        <v>80176.34</v>
      </c>
      <c r="C115">
        <f>cleaned_data!F115</f>
        <v>9489</v>
      </c>
      <c r="D115">
        <f>cleaned_data!G115</f>
        <v>0.14199999999999999</v>
      </c>
      <c r="E115">
        <f>cleaned_data!I115</f>
        <v>94.3</v>
      </c>
      <c r="F115">
        <f>cleaned_data!L115</f>
        <v>3.5</v>
      </c>
      <c r="G115">
        <f>cleaned_data!K115</f>
        <v>0</v>
      </c>
      <c r="H115">
        <f>dummy_variables!F115</f>
        <v>0</v>
      </c>
      <c r="I115">
        <f>dummy_variables!G115</f>
        <v>0</v>
      </c>
      <c r="J115">
        <f>dummy_variables!H115</f>
        <v>1</v>
      </c>
      <c r="K115">
        <f>dummy_variables!I115</f>
        <v>0</v>
      </c>
      <c r="L115">
        <f>dummy_variables!J115</f>
        <v>0</v>
      </c>
      <c r="M115">
        <f>dummy_variables!K115</f>
        <v>1</v>
      </c>
    </row>
    <row r="116" spans="1:13">
      <c r="A116">
        <f>cleaned_data!M116</f>
        <v>697287.9</v>
      </c>
      <c r="B116">
        <f>cleaned_data!E116</f>
        <v>33605.18</v>
      </c>
      <c r="C116">
        <f>cleaned_data!F116</f>
        <v>9225</v>
      </c>
      <c r="D116">
        <f>cleaned_data!G116</f>
        <v>0.159</v>
      </c>
      <c r="E116">
        <f>cleaned_data!I116</f>
        <v>88.4</v>
      </c>
      <c r="F116">
        <f>cleaned_data!L116</f>
        <v>2.8</v>
      </c>
      <c r="G116">
        <f>cleaned_data!K116</f>
        <v>0</v>
      </c>
      <c r="H116">
        <f>dummy_variables!F116</f>
        <v>0</v>
      </c>
      <c r="I116">
        <f>dummy_variables!G116</f>
        <v>0</v>
      </c>
      <c r="J116">
        <f>dummy_variables!H116</f>
        <v>1</v>
      </c>
      <c r="K116">
        <f>dummy_variables!I116</f>
        <v>0</v>
      </c>
      <c r="L116">
        <f>dummy_variables!J116</f>
        <v>0</v>
      </c>
      <c r="M116">
        <f>dummy_variables!K116</f>
        <v>1</v>
      </c>
    </row>
    <row r="117" spans="1:13">
      <c r="A117">
        <f>cleaned_data!M117</f>
        <v>718074.79</v>
      </c>
      <c r="B117">
        <f>cleaned_data!E117</f>
        <v>25990.54</v>
      </c>
      <c r="C117">
        <f>cleaned_data!F117</f>
        <v>9249</v>
      </c>
      <c r="D117">
        <f>cleaned_data!G117</f>
        <v>0.13900000000000001</v>
      </c>
      <c r="E117">
        <f>cleaned_data!I117</f>
        <v>92.5</v>
      </c>
      <c r="F117">
        <f>cleaned_data!L117</f>
        <v>3.3</v>
      </c>
      <c r="G117">
        <f>cleaned_data!K117</f>
        <v>0</v>
      </c>
      <c r="H117">
        <f>dummy_variables!F117</f>
        <v>0</v>
      </c>
      <c r="I117">
        <f>dummy_variables!G117</f>
        <v>0</v>
      </c>
      <c r="J117">
        <f>dummy_variables!H117</f>
        <v>1</v>
      </c>
      <c r="K117">
        <f>dummy_variables!I117</f>
        <v>0</v>
      </c>
      <c r="L117">
        <f>dummy_variables!J117</f>
        <v>0</v>
      </c>
      <c r="M117">
        <f>dummy_variables!K117</f>
        <v>1</v>
      </c>
    </row>
    <row r="118" spans="1:13">
      <c r="A118">
        <f>cleaned_data!M118</f>
        <v>714942.43</v>
      </c>
      <c r="B118">
        <f>cleaned_data!E118</f>
        <v>43685.14</v>
      </c>
      <c r="C118">
        <f>cleaned_data!F118</f>
        <v>7821</v>
      </c>
      <c r="D118">
        <f>cleaned_data!G118</f>
        <v>0.19</v>
      </c>
      <c r="E118">
        <f>cleaned_data!I118</f>
        <v>91</v>
      </c>
      <c r="F118">
        <f>cleaned_data!L118</f>
        <v>4.7</v>
      </c>
      <c r="G118">
        <f>cleaned_data!K118</f>
        <v>1</v>
      </c>
      <c r="H118">
        <f>dummy_variables!F118</f>
        <v>0</v>
      </c>
      <c r="I118">
        <f>dummy_variables!G118</f>
        <v>0</v>
      </c>
      <c r="J118">
        <f>dummy_variables!H118</f>
        <v>1</v>
      </c>
      <c r="K118">
        <f>dummy_variables!I118</f>
        <v>0</v>
      </c>
      <c r="L118">
        <f>dummy_variables!J118</f>
        <v>0</v>
      </c>
      <c r="M118">
        <f>dummy_variables!K118</f>
        <v>0</v>
      </c>
    </row>
    <row r="119" spans="1:13">
      <c r="A119">
        <f>cleaned_data!M119</f>
        <v>820519.04</v>
      </c>
      <c r="B119">
        <f>cleaned_data!E119</f>
        <v>57360.01</v>
      </c>
      <c r="C119">
        <f>cleaned_data!F119</f>
        <v>8434</v>
      </c>
      <c r="D119">
        <f>cleaned_data!G119</f>
        <v>0.151</v>
      </c>
      <c r="E119">
        <f>cleaned_data!I119</f>
        <v>84.1</v>
      </c>
      <c r="F119">
        <f>cleaned_data!L119</f>
        <v>4.7</v>
      </c>
      <c r="G119">
        <f>cleaned_data!K119</f>
        <v>0</v>
      </c>
      <c r="H119">
        <f>dummy_variables!F119</f>
        <v>0</v>
      </c>
      <c r="I119">
        <f>dummy_variables!G119</f>
        <v>0</v>
      </c>
      <c r="J119">
        <f>dummy_variables!H119</f>
        <v>1</v>
      </c>
      <c r="K119">
        <f>dummy_variables!I119</f>
        <v>0</v>
      </c>
      <c r="L119">
        <f>dummy_variables!J119</f>
        <v>0</v>
      </c>
      <c r="M119">
        <f>dummy_variables!K119</f>
        <v>0</v>
      </c>
    </row>
    <row r="120" spans="1:13">
      <c r="A120">
        <f>cleaned_data!M120</f>
        <v>684217.32</v>
      </c>
      <c r="B120">
        <f>cleaned_data!E120</f>
        <v>42415.47</v>
      </c>
      <c r="C120">
        <f>cleaned_data!F120</f>
        <v>8512</v>
      </c>
      <c r="D120">
        <f>cleaned_data!G120</f>
        <v>0.13300000000000001</v>
      </c>
      <c r="E120">
        <f>cleaned_data!I120</f>
        <v>96.8</v>
      </c>
      <c r="F120">
        <f>cleaned_data!L120</f>
        <v>4.5999999999999996</v>
      </c>
      <c r="G120">
        <f>cleaned_data!K120</f>
        <v>0</v>
      </c>
      <c r="H120">
        <f>dummy_variables!F120</f>
        <v>0</v>
      </c>
      <c r="I120">
        <f>dummy_variables!G120</f>
        <v>0</v>
      </c>
      <c r="J120">
        <f>dummy_variables!H120</f>
        <v>1</v>
      </c>
      <c r="K120">
        <f>dummy_variables!I120</f>
        <v>0</v>
      </c>
      <c r="L120">
        <f>dummy_variables!J120</f>
        <v>0</v>
      </c>
      <c r="M120">
        <f>dummy_variables!K120</f>
        <v>0</v>
      </c>
    </row>
    <row r="121" spans="1:13">
      <c r="A121">
        <f>cleaned_data!M121</f>
        <v>735480.19</v>
      </c>
      <c r="B121">
        <f>cleaned_data!E121</f>
        <v>54968.98</v>
      </c>
      <c r="C121">
        <f>cleaned_data!F121</f>
        <v>7816</v>
      </c>
      <c r="D121">
        <f>cleaned_data!G121</f>
        <v>0.23200000000000001</v>
      </c>
      <c r="E121">
        <f>cleaned_data!I121</f>
        <v>95.7</v>
      </c>
      <c r="F121">
        <f>cleaned_data!L121</f>
        <v>4.7</v>
      </c>
      <c r="G121">
        <f>cleaned_data!K121</f>
        <v>0</v>
      </c>
      <c r="H121">
        <f>dummy_variables!F121</f>
        <v>0</v>
      </c>
      <c r="I121">
        <f>dummy_variables!G121</f>
        <v>0</v>
      </c>
      <c r="J121">
        <f>dummy_variables!H121</f>
        <v>1</v>
      </c>
      <c r="K121">
        <f>dummy_variables!I121</f>
        <v>0</v>
      </c>
      <c r="L121">
        <f>dummy_variables!J121</f>
        <v>0</v>
      </c>
      <c r="M121">
        <f>dummy_variables!K121</f>
        <v>0</v>
      </c>
    </row>
    <row r="122" spans="1:13">
      <c r="A122">
        <f>cleaned_data!M122</f>
        <v>509484.81</v>
      </c>
      <c r="B122">
        <f>cleaned_data!E122</f>
        <v>43896.13</v>
      </c>
      <c r="C122">
        <f>cleaned_data!F122</f>
        <v>3853</v>
      </c>
      <c r="D122">
        <f>cleaned_data!G122</f>
        <v>8.7999999999999995E-2</v>
      </c>
      <c r="E122">
        <f>cleaned_data!I122</f>
        <v>83</v>
      </c>
      <c r="F122">
        <f>cleaned_data!L122</f>
        <v>4.4000000000000004</v>
      </c>
      <c r="G122">
        <f>cleaned_data!K122</f>
        <v>0</v>
      </c>
      <c r="H122">
        <f>dummy_variables!F122</f>
        <v>1</v>
      </c>
      <c r="I122">
        <f>dummy_variables!G122</f>
        <v>0</v>
      </c>
      <c r="J122">
        <f>dummy_variables!H122</f>
        <v>0</v>
      </c>
      <c r="K122">
        <f>dummy_variables!I122</f>
        <v>0</v>
      </c>
      <c r="L122">
        <f>dummy_variables!J122</f>
        <v>1</v>
      </c>
      <c r="M122">
        <f>dummy_variables!K122</f>
        <v>0</v>
      </c>
    </row>
    <row r="123" spans="1:13">
      <c r="A123">
        <f>cleaned_data!M123</f>
        <v>654317.09</v>
      </c>
      <c r="B123">
        <f>cleaned_data!E123</f>
        <v>83044.17</v>
      </c>
      <c r="C123">
        <f>cleaned_data!F123</f>
        <v>3694</v>
      </c>
      <c r="D123">
        <f>cleaned_data!G123</f>
        <v>0</v>
      </c>
      <c r="E123">
        <f>cleaned_data!I123</f>
        <v>89.4</v>
      </c>
      <c r="F123">
        <f>cleaned_data!L123</f>
        <v>3.7</v>
      </c>
      <c r="G123">
        <f>cleaned_data!K123</f>
        <v>0</v>
      </c>
      <c r="H123">
        <f>dummy_variables!F123</f>
        <v>1</v>
      </c>
      <c r="I123">
        <f>dummy_variables!G123</f>
        <v>0</v>
      </c>
      <c r="J123">
        <f>dummy_variables!H123</f>
        <v>0</v>
      </c>
      <c r="K123">
        <f>dummy_variables!I123</f>
        <v>0</v>
      </c>
      <c r="L123">
        <f>dummy_variables!J123</f>
        <v>1</v>
      </c>
      <c r="M123">
        <f>dummy_variables!K123</f>
        <v>0</v>
      </c>
    </row>
    <row r="124" spans="1:13">
      <c r="A124">
        <f>cleaned_data!M124</f>
        <v>557487.26</v>
      </c>
      <c r="B124">
        <f>cleaned_data!E124</f>
        <v>48396.13</v>
      </c>
      <c r="C124">
        <f>cleaned_data!F124</f>
        <v>4423</v>
      </c>
      <c r="D124">
        <f>cleaned_data!G124</f>
        <v>6.9000000000000006E-2</v>
      </c>
      <c r="E124">
        <f>cleaned_data!I124</f>
        <v>85.7</v>
      </c>
      <c r="F124">
        <f>cleaned_data!L124</f>
        <v>3.9</v>
      </c>
      <c r="G124">
        <f>cleaned_data!K124</f>
        <v>0</v>
      </c>
      <c r="H124">
        <f>dummy_variables!F124</f>
        <v>1</v>
      </c>
      <c r="I124">
        <f>dummy_variables!G124</f>
        <v>0</v>
      </c>
      <c r="J124">
        <f>dummy_variables!H124</f>
        <v>0</v>
      </c>
      <c r="K124">
        <f>dummy_variables!I124</f>
        <v>0</v>
      </c>
      <c r="L124">
        <f>dummy_variables!J124</f>
        <v>1</v>
      </c>
      <c r="M124">
        <f>dummy_variables!K124</f>
        <v>0</v>
      </c>
    </row>
    <row r="125" spans="1:13">
      <c r="A125">
        <f>cleaned_data!M125</f>
        <v>441275.42</v>
      </c>
      <c r="B125">
        <f>cleaned_data!E125</f>
        <v>19063.48</v>
      </c>
      <c r="C125">
        <f>cleaned_data!F125</f>
        <v>1906</v>
      </c>
      <c r="D125">
        <f>cleaned_data!G125</f>
        <v>0.216</v>
      </c>
      <c r="E125">
        <f>cleaned_data!I125</f>
        <v>97.8</v>
      </c>
      <c r="F125">
        <f>cleaned_data!L125</f>
        <v>4.4000000000000004</v>
      </c>
      <c r="G125">
        <f>cleaned_data!K125</f>
        <v>0</v>
      </c>
      <c r="H125">
        <f>dummy_variables!F125</f>
        <v>1</v>
      </c>
      <c r="I125">
        <f>dummy_variables!G125</f>
        <v>0</v>
      </c>
      <c r="J125">
        <f>dummy_variables!H125</f>
        <v>0</v>
      </c>
      <c r="K125">
        <f>dummy_variables!I125</f>
        <v>0</v>
      </c>
      <c r="L125">
        <f>dummy_variables!J125</f>
        <v>1</v>
      </c>
      <c r="M125">
        <f>dummy_variables!K125</f>
        <v>0</v>
      </c>
    </row>
    <row r="126" spans="1:13">
      <c r="A126">
        <f>cleaned_data!M126</f>
        <v>914544.17</v>
      </c>
      <c r="B126">
        <f>cleaned_data!E126</f>
        <v>61541.21</v>
      </c>
      <c r="C126">
        <f>cleaned_data!F126</f>
        <v>10396</v>
      </c>
      <c r="D126">
        <f>cleaned_data!G126</f>
        <v>0.123</v>
      </c>
      <c r="E126">
        <f>cleaned_data!I126</f>
        <v>88.1</v>
      </c>
      <c r="F126">
        <f>cleaned_data!L126</f>
        <v>4.8</v>
      </c>
      <c r="G126">
        <f>cleaned_data!K126</f>
        <v>1</v>
      </c>
      <c r="H126">
        <f>dummy_variables!F126</f>
        <v>0</v>
      </c>
      <c r="I126">
        <f>dummy_variables!G126</f>
        <v>1</v>
      </c>
      <c r="J126">
        <f>dummy_variables!H126</f>
        <v>0</v>
      </c>
      <c r="K126">
        <f>dummy_variables!I126</f>
        <v>0</v>
      </c>
      <c r="L126">
        <f>dummy_variables!J126</f>
        <v>1</v>
      </c>
      <c r="M126">
        <f>dummy_variables!K126</f>
        <v>0</v>
      </c>
    </row>
    <row r="127" spans="1:13">
      <c r="A127">
        <f>cleaned_data!M127</f>
        <v>842439.67</v>
      </c>
      <c r="B127">
        <f>cleaned_data!E127</f>
        <v>44747</v>
      </c>
      <c r="C127">
        <f>cleaned_data!F127</f>
        <v>11076</v>
      </c>
      <c r="D127">
        <f>cleaned_data!G127</f>
        <v>0.17599999999999999</v>
      </c>
      <c r="E127">
        <f>cleaned_data!I127</f>
        <v>98.3</v>
      </c>
      <c r="F127">
        <f>cleaned_data!L127</f>
        <v>4.4000000000000004</v>
      </c>
      <c r="G127">
        <f>cleaned_data!K127</f>
        <v>0</v>
      </c>
      <c r="H127">
        <f>dummy_variables!F127</f>
        <v>0</v>
      </c>
      <c r="I127">
        <f>dummy_variables!G127</f>
        <v>1</v>
      </c>
      <c r="J127">
        <f>dummy_variables!H127</f>
        <v>0</v>
      </c>
      <c r="K127">
        <f>dummy_variables!I127</f>
        <v>0</v>
      </c>
      <c r="L127">
        <f>dummy_variables!J127</f>
        <v>1</v>
      </c>
      <c r="M127">
        <f>dummy_variables!K127</f>
        <v>0</v>
      </c>
    </row>
    <row r="128" spans="1:13">
      <c r="A128">
        <f>cleaned_data!M128</f>
        <v>842157.92</v>
      </c>
      <c r="B128">
        <f>cleaned_data!E128</f>
        <v>56517.9</v>
      </c>
      <c r="C128">
        <f>cleaned_data!F128</f>
        <v>9574</v>
      </c>
      <c r="D128">
        <f>cleaned_data!G128</f>
        <v>0.20399999999999999</v>
      </c>
      <c r="E128">
        <f>cleaned_data!I128</f>
        <v>88.2</v>
      </c>
      <c r="F128">
        <f>cleaned_data!L128</f>
        <v>4.9000000000000004</v>
      </c>
      <c r="G128">
        <f>cleaned_data!K128</f>
        <v>1</v>
      </c>
      <c r="H128">
        <f>dummy_variables!F128</f>
        <v>0</v>
      </c>
      <c r="I128">
        <f>dummy_variables!G128</f>
        <v>1</v>
      </c>
      <c r="J128">
        <f>dummy_variables!H128</f>
        <v>0</v>
      </c>
      <c r="K128">
        <f>dummy_variables!I128</f>
        <v>0</v>
      </c>
      <c r="L128">
        <f>dummy_variables!J128</f>
        <v>1</v>
      </c>
      <c r="M128">
        <f>dummy_variables!K128</f>
        <v>0</v>
      </c>
    </row>
    <row r="129" spans="1:13">
      <c r="A129">
        <f>cleaned_data!M129</f>
        <v>697155.3</v>
      </c>
      <c r="B129">
        <f>cleaned_data!E129</f>
        <v>37828.5</v>
      </c>
      <c r="C129">
        <f>cleaned_data!F129</f>
        <v>8221</v>
      </c>
      <c r="D129">
        <f>cleaned_data!G129</f>
        <v>9.6000000000000002E-2</v>
      </c>
      <c r="E129">
        <f>cleaned_data!I129</f>
        <v>81.5</v>
      </c>
      <c r="F129">
        <f>cleaned_data!L129</f>
        <v>4.8</v>
      </c>
      <c r="G129">
        <f>cleaned_data!K129</f>
        <v>0</v>
      </c>
      <c r="H129">
        <f>dummy_variables!F129</f>
        <v>0</v>
      </c>
      <c r="I129">
        <f>dummy_variables!G129</f>
        <v>1</v>
      </c>
      <c r="J129">
        <f>dummy_variables!H129</f>
        <v>0</v>
      </c>
      <c r="K129">
        <f>dummy_variables!I129</f>
        <v>0</v>
      </c>
      <c r="L129">
        <f>dummy_variables!J129</f>
        <v>1</v>
      </c>
      <c r="M129">
        <f>dummy_variables!K129</f>
        <v>0</v>
      </c>
    </row>
    <row r="130" spans="1:13">
      <c r="A130">
        <f>cleaned_data!M130</f>
        <v>849018.3</v>
      </c>
      <c r="B130">
        <f>cleaned_data!E130</f>
        <v>66250.53</v>
      </c>
      <c r="C130">
        <f>cleaned_data!F130</f>
        <v>10618</v>
      </c>
      <c r="D130">
        <f>cleaned_data!G130</f>
        <v>0.14199999999999999</v>
      </c>
      <c r="E130">
        <f>cleaned_data!I130</f>
        <v>88.3</v>
      </c>
      <c r="F130">
        <f>cleaned_data!L130</f>
        <v>4.4000000000000004</v>
      </c>
      <c r="G130">
        <f>cleaned_data!K130</f>
        <v>1</v>
      </c>
      <c r="H130">
        <f>dummy_variables!F130</f>
        <v>0</v>
      </c>
      <c r="I130">
        <f>dummy_variables!G130</f>
        <v>0</v>
      </c>
      <c r="J130">
        <f>dummy_variables!H130</f>
        <v>0</v>
      </c>
      <c r="K130">
        <f>dummy_variables!I130</f>
        <v>0</v>
      </c>
      <c r="L130">
        <f>dummy_variables!J130</f>
        <v>1</v>
      </c>
      <c r="M130">
        <f>dummy_variables!K130</f>
        <v>0</v>
      </c>
    </row>
    <row r="131" spans="1:13">
      <c r="A131">
        <f>cleaned_data!M131</f>
        <v>801830.35</v>
      </c>
      <c r="B131">
        <f>cleaned_data!E131</f>
        <v>68410.929999999993</v>
      </c>
      <c r="C131">
        <f>cleaned_data!F131</f>
        <v>10596</v>
      </c>
      <c r="D131">
        <f>cleaned_data!G131</f>
        <v>0.20699999999999999</v>
      </c>
      <c r="E131">
        <f>cleaned_data!I131</f>
        <v>81.2</v>
      </c>
      <c r="F131">
        <f>cleaned_data!L131</f>
        <v>4</v>
      </c>
      <c r="G131">
        <f>cleaned_data!K131</f>
        <v>0</v>
      </c>
      <c r="H131">
        <f>dummy_variables!F131</f>
        <v>0</v>
      </c>
      <c r="I131">
        <f>dummy_variables!G131</f>
        <v>0</v>
      </c>
      <c r="J131">
        <f>dummy_variables!H131</f>
        <v>0</v>
      </c>
      <c r="K131">
        <f>dummy_variables!I131</f>
        <v>0</v>
      </c>
      <c r="L131">
        <f>dummy_variables!J131</f>
        <v>1</v>
      </c>
      <c r="M131">
        <f>dummy_variables!K131</f>
        <v>0</v>
      </c>
    </row>
    <row r="132" spans="1:13">
      <c r="A132">
        <f>cleaned_data!M132</f>
        <v>725235.28</v>
      </c>
      <c r="B132">
        <f>cleaned_data!E132</f>
        <v>50735.63</v>
      </c>
      <c r="C132">
        <f>cleaned_data!F132</f>
        <v>9619</v>
      </c>
      <c r="D132">
        <f>cleaned_data!G132</f>
        <v>0.14399999999999999</v>
      </c>
      <c r="E132">
        <f>cleaned_data!I132</f>
        <v>93.8</v>
      </c>
      <c r="F132">
        <f>cleaned_data!L132</f>
        <v>4.5</v>
      </c>
      <c r="G132">
        <f>cleaned_data!K132</f>
        <v>1</v>
      </c>
      <c r="H132">
        <f>dummy_variables!F132</f>
        <v>0</v>
      </c>
      <c r="I132">
        <f>dummy_variables!G132</f>
        <v>0</v>
      </c>
      <c r="J132">
        <f>dummy_variables!H132</f>
        <v>0</v>
      </c>
      <c r="K132">
        <f>dummy_variables!I132</f>
        <v>0</v>
      </c>
      <c r="L132">
        <f>dummy_variables!J132</f>
        <v>1</v>
      </c>
      <c r="M132">
        <f>dummy_variables!K132</f>
        <v>0</v>
      </c>
    </row>
    <row r="133" spans="1:13">
      <c r="A133">
        <f>cleaned_data!M133</f>
        <v>811452.72</v>
      </c>
      <c r="B133">
        <f>cleaned_data!E133</f>
        <v>66455.8</v>
      </c>
      <c r="C133">
        <f>cleaned_data!F133</f>
        <v>10836</v>
      </c>
      <c r="D133">
        <f>cleaned_data!G133</f>
        <v>8.8999999999999996E-2</v>
      </c>
      <c r="E133">
        <f>cleaned_data!I133</f>
        <v>85</v>
      </c>
      <c r="F133">
        <f>cleaned_data!L133</f>
        <v>4.5</v>
      </c>
      <c r="G133">
        <f>cleaned_data!K133</f>
        <v>0</v>
      </c>
      <c r="H133">
        <f>dummy_variables!F133</f>
        <v>0</v>
      </c>
      <c r="I133">
        <f>dummy_variables!G133</f>
        <v>0</v>
      </c>
      <c r="J133">
        <f>dummy_variables!H133</f>
        <v>0</v>
      </c>
      <c r="K133">
        <f>dummy_variables!I133</f>
        <v>0</v>
      </c>
      <c r="L133">
        <f>dummy_variables!J133</f>
        <v>1</v>
      </c>
      <c r="M133">
        <f>dummy_variables!K133</f>
        <v>0</v>
      </c>
    </row>
    <row r="134" spans="1:13">
      <c r="A134">
        <f>cleaned_data!M134</f>
        <v>527300.13</v>
      </c>
      <c r="B134">
        <f>cleaned_data!E134</f>
        <v>70276.28</v>
      </c>
      <c r="C134">
        <f>cleaned_data!F134</f>
        <v>3043</v>
      </c>
      <c r="D134">
        <f>cleaned_data!G134</f>
        <v>7.9000000000000001E-2</v>
      </c>
      <c r="E134">
        <f>cleaned_data!I134</f>
        <v>87.9</v>
      </c>
      <c r="F134">
        <f>cleaned_data!L134</f>
        <v>4.4000000000000004</v>
      </c>
      <c r="G134">
        <f>cleaned_data!K134</f>
        <v>0</v>
      </c>
      <c r="H134">
        <f>dummy_variables!F134</f>
        <v>1</v>
      </c>
      <c r="I134">
        <f>dummy_variables!G134</f>
        <v>0</v>
      </c>
      <c r="J134">
        <f>dummy_variables!H134</f>
        <v>0</v>
      </c>
      <c r="K134">
        <f>dummy_variables!I134</f>
        <v>0</v>
      </c>
      <c r="L134">
        <f>dummy_variables!J134</f>
        <v>1</v>
      </c>
      <c r="M134">
        <f>dummy_variables!K134</f>
        <v>0</v>
      </c>
    </row>
    <row r="135" spans="1:13">
      <c r="A135">
        <f>cleaned_data!M135</f>
        <v>400831.65</v>
      </c>
      <c r="B135">
        <f>cleaned_data!E135</f>
        <v>22071.64</v>
      </c>
      <c r="C135">
        <f>cleaned_data!F135</f>
        <v>1814</v>
      </c>
      <c r="D135">
        <f>cleaned_data!G135</f>
        <v>0.19600000000000001</v>
      </c>
      <c r="E135">
        <f>cleaned_data!I135</f>
        <v>81.099999999999994</v>
      </c>
      <c r="F135">
        <f>cleaned_data!L135</f>
        <v>3.9</v>
      </c>
      <c r="G135">
        <f>cleaned_data!K135</f>
        <v>0</v>
      </c>
      <c r="H135">
        <f>dummy_variables!F135</f>
        <v>1</v>
      </c>
      <c r="I135">
        <f>dummy_variables!G135</f>
        <v>0</v>
      </c>
      <c r="J135">
        <f>dummy_variables!H135</f>
        <v>0</v>
      </c>
      <c r="K135">
        <f>dummy_variables!I135</f>
        <v>0</v>
      </c>
      <c r="L135">
        <f>dummy_variables!J135</f>
        <v>1</v>
      </c>
      <c r="M135">
        <f>dummy_variables!K135</f>
        <v>0</v>
      </c>
    </row>
    <row r="136" spans="1:13">
      <c r="A136">
        <f>cleaned_data!M136</f>
        <v>593247.25</v>
      </c>
      <c r="B136">
        <f>cleaned_data!E136</f>
        <v>52285.45</v>
      </c>
      <c r="C136">
        <f>cleaned_data!F136</f>
        <v>3618</v>
      </c>
      <c r="D136">
        <f>cleaned_data!G136</f>
        <v>8.5999999999999993E-2</v>
      </c>
      <c r="E136">
        <f>cleaned_data!I136</f>
        <v>95.6</v>
      </c>
      <c r="F136">
        <f>cleaned_data!L136</f>
        <v>4.4000000000000004</v>
      </c>
      <c r="G136">
        <f>cleaned_data!K136</f>
        <v>1</v>
      </c>
      <c r="H136">
        <f>dummy_variables!F136</f>
        <v>1</v>
      </c>
      <c r="I136">
        <f>dummy_variables!G136</f>
        <v>0</v>
      </c>
      <c r="J136">
        <f>dummy_variables!H136</f>
        <v>0</v>
      </c>
      <c r="K136">
        <f>dummy_variables!I136</f>
        <v>0</v>
      </c>
      <c r="L136">
        <f>dummy_variables!J136</f>
        <v>1</v>
      </c>
      <c r="M136">
        <f>dummy_variables!K136</f>
        <v>0</v>
      </c>
    </row>
    <row r="137" spans="1:13">
      <c r="A137">
        <f>cleaned_data!M137</f>
        <v>529075.94999999995</v>
      </c>
      <c r="B137">
        <f>cleaned_data!E137</f>
        <v>70366.759999999995</v>
      </c>
      <c r="C137">
        <f>cleaned_data!F137</f>
        <v>1963</v>
      </c>
      <c r="D137">
        <f>cleaned_data!G137</f>
        <v>0.182</v>
      </c>
      <c r="E137">
        <f>cleaned_data!I137</f>
        <v>89.8</v>
      </c>
      <c r="F137">
        <f>cleaned_data!L137</f>
        <v>4.5999999999999996</v>
      </c>
      <c r="G137">
        <f>cleaned_data!K137</f>
        <v>0</v>
      </c>
      <c r="H137">
        <f>dummy_variables!F137</f>
        <v>1</v>
      </c>
      <c r="I137">
        <f>dummy_variables!G137</f>
        <v>0</v>
      </c>
      <c r="J137">
        <f>dummy_variables!H137</f>
        <v>0</v>
      </c>
      <c r="K137">
        <f>dummy_variables!I137</f>
        <v>0</v>
      </c>
      <c r="L137">
        <f>dummy_variables!J137</f>
        <v>1</v>
      </c>
      <c r="M137">
        <f>dummy_variables!K137</f>
        <v>0</v>
      </c>
    </row>
    <row r="138" spans="1:13">
      <c r="A138">
        <f>cleaned_data!M138</f>
        <v>633638.03</v>
      </c>
      <c r="B138">
        <f>cleaned_data!E138</f>
        <v>71320.66</v>
      </c>
      <c r="C138">
        <f>cleaned_data!F138</f>
        <v>7888</v>
      </c>
      <c r="D138">
        <f>cleaned_data!G138</f>
        <v>4.8000000000000001E-2</v>
      </c>
      <c r="E138">
        <f>cleaned_data!I138</f>
        <v>78.099999999999994</v>
      </c>
      <c r="F138">
        <f>cleaned_data!L138</f>
        <v>4</v>
      </c>
      <c r="G138">
        <f>cleaned_data!K138</f>
        <v>0</v>
      </c>
      <c r="H138">
        <f>dummy_variables!F138</f>
        <v>0</v>
      </c>
      <c r="I138">
        <f>dummy_variables!G138</f>
        <v>1</v>
      </c>
      <c r="J138">
        <f>dummy_variables!H138</f>
        <v>0</v>
      </c>
      <c r="K138">
        <f>dummy_variables!I138</f>
        <v>0</v>
      </c>
      <c r="L138">
        <f>dummy_variables!J138</f>
        <v>0</v>
      </c>
      <c r="M138">
        <f>dummy_variables!K138</f>
        <v>0</v>
      </c>
    </row>
    <row r="139" spans="1:13">
      <c r="A139">
        <f>cleaned_data!M139</f>
        <v>743348.84</v>
      </c>
      <c r="B139">
        <f>cleaned_data!E139</f>
        <v>75109.67</v>
      </c>
      <c r="C139">
        <f>cleaned_data!F139</f>
        <v>6244</v>
      </c>
      <c r="D139">
        <f>cleaned_data!G139</f>
        <v>7.9000000000000001E-2</v>
      </c>
      <c r="E139">
        <f>cleaned_data!I139</f>
        <v>96.3</v>
      </c>
      <c r="F139">
        <f>cleaned_data!L139</f>
        <v>3.7</v>
      </c>
      <c r="G139">
        <f>cleaned_data!K139</f>
        <v>0</v>
      </c>
      <c r="H139">
        <f>dummy_variables!F139</f>
        <v>0</v>
      </c>
      <c r="I139">
        <f>dummy_variables!G139</f>
        <v>1</v>
      </c>
      <c r="J139">
        <f>dummy_variables!H139</f>
        <v>0</v>
      </c>
      <c r="K139">
        <f>dummy_variables!I139</f>
        <v>0</v>
      </c>
      <c r="L139">
        <f>dummy_variables!J139</f>
        <v>0</v>
      </c>
      <c r="M139">
        <f>dummy_variables!K139</f>
        <v>0</v>
      </c>
    </row>
    <row r="140" spans="1:13">
      <c r="A140">
        <f>cleaned_data!M140</f>
        <v>758827.64</v>
      </c>
      <c r="B140">
        <f>cleaned_data!E140</f>
        <v>69779</v>
      </c>
      <c r="C140">
        <f>cleaned_data!F140</f>
        <v>6544</v>
      </c>
      <c r="D140">
        <f>cleaned_data!G140</f>
        <v>0.152</v>
      </c>
      <c r="E140">
        <f>cleaned_data!I140</f>
        <v>90.2</v>
      </c>
      <c r="F140">
        <f>cleaned_data!L140</f>
        <v>3.3</v>
      </c>
      <c r="G140">
        <f>cleaned_data!K140</f>
        <v>1</v>
      </c>
      <c r="H140">
        <f>dummy_variables!F140</f>
        <v>0</v>
      </c>
      <c r="I140">
        <f>dummy_variables!G140</f>
        <v>1</v>
      </c>
      <c r="J140">
        <f>dummy_variables!H140</f>
        <v>0</v>
      </c>
      <c r="K140">
        <f>dummy_variables!I140</f>
        <v>0</v>
      </c>
      <c r="L140">
        <f>dummy_variables!J140</f>
        <v>0</v>
      </c>
      <c r="M140">
        <f>dummy_variables!K140</f>
        <v>0</v>
      </c>
    </row>
    <row r="141" spans="1:13">
      <c r="A141">
        <f>cleaned_data!M141</f>
        <v>646559.71</v>
      </c>
      <c r="B141">
        <f>cleaned_data!E141</f>
        <v>44211.95</v>
      </c>
      <c r="C141">
        <f>cleaned_data!F141</f>
        <v>5465</v>
      </c>
      <c r="D141">
        <f>cleaned_data!G141</f>
        <v>0.187</v>
      </c>
      <c r="E141">
        <f>cleaned_data!I141</f>
        <v>90</v>
      </c>
      <c r="F141">
        <f>cleaned_data!L141</f>
        <v>3.6</v>
      </c>
      <c r="G141">
        <f>cleaned_data!K141</f>
        <v>0</v>
      </c>
      <c r="H141">
        <f>dummy_variables!F141</f>
        <v>0</v>
      </c>
      <c r="I141">
        <f>dummy_variables!G141</f>
        <v>1</v>
      </c>
      <c r="J141">
        <f>dummy_variables!H141</f>
        <v>0</v>
      </c>
      <c r="K141">
        <f>dummy_variables!I141</f>
        <v>0</v>
      </c>
      <c r="L141">
        <f>dummy_variables!J141</f>
        <v>0</v>
      </c>
      <c r="M141">
        <f>dummy_variables!K141</f>
        <v>0</v>
      </c>
    </row>
    <row r="142" spans="1:13">
      <c r="A142">
        <f>cleaned_data!M142</f>
        <v>715890.53</v>
      </c>
      <c r="B142">
        <f>cleaned_data!E142</f>
        <v>51430.31</v>
      </c>
      <c r="C142">
        <f>cleaned_data!F142</f>
        <v>6427</v>
      </c>
      <c r="D142">
        <f>cleaned_data!G142</f>
        <v>0.23400000000000001</v>
      </c>
      <c r="E142">
        <f>cleaned_data!I142</f>
        <v>88.8</v>
      </c>
      <c r="F142">
        <f>cleaned_data!L142</f>
        <v>4.0999999999999996</v>
      </c>
      <c r="G142">
        <f>cleaned_data!K142</f>
        <v>0</v>
      </c>
      <c r="H142">
        <f>dummy_variables!F142</f>
        <v>0</v>
      </c>
      <c r="I142">
        <f>dummy_variables!G142</f>
        <v>0</v>
      </c>
      <c r="J142">
        <f>dummy_variables!H142</f>
        <v>1</v>
      </c>
      <c r="K142">
        <f>dummy_variables!I142</f>
        <v>0</v>
      </c>
      <c r="L142">
        <f>dummy_variables!J142</f>
        <v>1</v>
      </c>
      <c r="M142">
        <f>dummy_variables!K142</f>
        <v>0</v>
      </c>
    </row>
    <row r="143" spans="1:13">
      <c r="A143">
        <f>cleaned_data!M143</f>
        <v>715097.57</v>
      </c>
      <c r="B143">
        <f>cleaned_data!E143</f>
        <v>45706.49</v>
      </c>
      <c r="C143">
        <f>cleaned_data!F143</f>
        <v>6704</v>
      </c>
      <c r="D143">
        <f>cleaned_data!G143</f>
        <v>3.7999999999999999E-2</v>
      </c>
      <c r="E143">
        <f>cleaned_data!I143</f>
        <v>94.2</v>
      </c>
      <c r="F143">
        <f>cleaned_data!L143</f>
        <v>4.2</v>
      </c>
      <c r="G143">
        <f>cleaned_data!K143</f>
        <v>0</v>
      </c>
      <c r="H143">
        <f>dummy_variables!F143</f>
        <v>0</v>
      </c>
      <c r="I143">
        <f>dummy_variables!G143</f>
        <v>0</v>
      </c>
      <c r="J143">
        <f>dummy_variables!H143</f>
        <v>1</v>
      </c>
      <c r="K143">
        <f>dummy_variables!I143</f>
        <v>0</v>
      </c>
      <c r="L143">
        <f>dummy_variables!J143</f>
        <v>1</v>
      </c>
      <c r="M143">
        <f>dummy_variables!K143</f>
        <v>0</v>
      </c>
    </row>
    <row r="144" spans="1:13">
      <c r="A144">
        <f>cleaned_data!M144</f>
        <v>682639.28</v>
      </c>
      <c r="B144">
        <f>cleaned_data!E144</f>
        <v>44034.6</v>
      </c>
      <c r="C144">
        <f>cleaned_data!F144</f>
        <v>5645</v>
      </c>
      <c r="D144">
        <f>cleaned_data!G144</f>
        <v>6.9000000000000006E-2</v>
      </c>
      <c r="E144">
        <f>cleaned_data!I144</f>
        <v>88.5</v>
      </c>
      <c r="F144">
        <f>cleaned_data!L144</f>
        <v>3.8</v>
      </c>
      <c r="G144">
        <f>cleaned_data!K144</f>
        <v>0</v>
      </c>
      <c r="H144">
        <f>dummy_variables!F144</f>
        <v>0</v>
      </c>
      <c r="I144">
        <f>dummy_variables!G144</f>
        <v>0</v>
      </c>
      <c r="J144">
        <f>dummy_variables!H144</f>
        <v>1</v>
      </c>
      <c r="K144">
        <f>dummy_variables!I144</f>
        <v>0</v>
      </c>
      <c r="L144">
        <f>dummy_variables!J144</f>
        <v>1</v>
      </c>
      <c r="M144">
        <f>dummy_variables!K144</f>
        <v>0</v>
      </c>
    </row>
    <row r="145" spans="1:13">
      <c r="A145">
        <f>cleaned_data!M145</f>
        <v>695098.51</v>
      </c>
      <c r="B145">
        <f>cleaned_data!E145</f>
        <v>50198.12</v>
      </c>
      <c r="C145">
        <f>cleaned_data!F145</f>
        <v>6089</v>
      </c>
      <c r="D145">
        <f>cleaned_data!G145</f>
        <v>0.182</v>
      </c>
      <c r="E145">
        <f>cleaned_data!I145</f>
        <v>94</v>
      </c>
      <c r="F145">
        <f>cleaned_data!L145</f>
        <v>3.9</v>
      </c>
      <c r="G145">
        <f>cleaned_data!K145</f>
        <v>0</v>
      </c>
      <c r="H145">
        <f>dummy_variables!F145</f>
        <v>0</v>
      </c>
      <c r="I145">
        <f>dummy_variables!G145</f>
        <v>0</v>
      </c>
      <c r="J145">
        <f>dummy_variables!H145</f>
        <v>1</v>
      </c>
      <c r="K145">
        <f>dummy_variables!I145</f>
        <v>0</v>
      </c>
      <c r="L145">
        <f>dummy_variables!J145</f>
        <v>1</v>
      </c>
      <c r="M145">
        <f>dummy_variables!K145</f>
        <v>0</v>
      </c>
    </row>
    <row r="146" spans="1:13">
      <c r="A146">
        <f>cleaned_data!M146</f>
        <v>577732.56999999995</v>
      </c>
      <c r="B146">
        <f>cleaned_data!E146</f>
        <v>70488.2</v>
      </c>
      <c r="C146">
        <f>cleaned_data!F146</f>
        <v>4312</v>
      </c>
      <c r="D146">
        <f>cleaned_data!G146</f>
        <v>0.16900000000000001</v>
      </c>
      <c r="E146">
        <f>cleaned_data!I146</f>
        <v>90.2</v>
      </c>
      <c r="F146">
        <f>cleaned_data!L146</f>
        <v>3.2</v>
      </c>
      <c r="G146">
        <f>cleaned_data!K146</f>
        <v>0</v>
      </c>
      <c r="H146">
        <f>dummy_variables!F146</f>
        <v>1</v>
      </c>
      <c r="I146">
        <f>dummy_variables!G146</f>
        <v>0</v>
      </c>
      <c r="J146">
        <f>dummy_variables!H146</f>
        <v>0</v>
      </c>
      <c r="K146">
        <f>dummy_variables!I146</f>
        <v>0</v>
      </c>
      <c r="L146">
        <f>dummy_variables!J146</f>
        <v>0</v>
      </c>
      <c r="M146">
        <f>dummy_variables!K146</f>
        <v>0</v>
      </c>
    </row>
    <row r="147" spans="1:13">
      <c r="A147">
        <f>cleaned_data!M147</f>
        <v>537058.32999999996</v>
      </c>
      <c r="B147">
        <f>cleaned_data!E147</f>
        <v>50909.27</v>
      </c>
      <c r="C147">
        <f>cleaned_data!F147</f>
        <v>3152</v>
      </c>
      <c r="D147">
        <f>cleaned_data!G147</f>
        <v>0.06</v>
      </c>
      <c r="E147">
        <f>cleaned_data!I147</f>
        <v>93.7</v>
      </c>
      <c r="F147">
        <f>cleaned_data!L147</f>
        <v>3.5</v>
      </c>
      <c r="G147">
        <f>cleaned_data!K147</f>
        <v>0</v>
      </c>
      <c r="H147">
        <f>dummy_variables!F147</f>
        <v>1</v>
      </c>
      <c r="I147">
        <f>dummy_variables!G147</f>
        <v>0</v>
      </c>
      <c r="J147">
        <f>dummy_variables!H147</f>
        <v>0</v>
      </c>
      <c r="K147">
        <f>dummy_variables!I147</f>
        <v>0</v>
      </c>
      <c r="L147">
        <f>dummy_variables!J147</f>
        <v>0</v>
      </c>
      <c r="M147">
        <f>dummy_variables!K147</f>
        <v>0</v>
      </c>
    </row>
    <row r="148" spans="1:13">
      <c r="A148">
        <f>cleaned_data!M148</f>
        <v>601568.87</v>
      </c>
      <c r="B148">
        <f>cleaned_data!E148</f>
        <v>53351.7</v>
      </c>
      <c r="C148">
        <f>cleaned_data!F148</f>
        <v>4259</v>
      </c>
      <c r="D148">
        <f>cleaned_data!G148</f>
        <v>0.156</v>
      </c>
      <c r="E148">
        <f>cleaned_data!I148</f>
        <v>93.7</v>
      </c>
      <c r="F148">
        <f>cleaned_data!L148</f>
        <v>3.4</v>
      </c>
      <c r="G148">
        <f>cleaned_data!K148</f>
        <v>0</v>
      </c>
      <c r="H148">
        <f>dummy_variables!F148</f>
        <v>1</v>
      </c>
      <c r="I148">
        <f>dummy_variables!G148</f>
        <v>0</v>
      </c>
      <c r="J148">
        <f>dummy_variables!H148</f>
        <v>0</v>
      </c>
      <c r="K148">
        <f>dummy_variables!I148</f>
        <v>0</v>
      </c>
      <c r="L148">
        <f>dummy_variables!J148</f>
        <v>0</v>
      </c>
      <c r="M148">
        <f>dummy_variables!K148</f>
        <v>0</v>
      </c>
    </row>
    <row r="149" spans="1:13">
      <c r="A149">
        <f>cleaned_data!M149</f>
        <v>570964.84</v>
      </c>
      <c r="B149">
        <f>cleaned_data!E149</f>
        <v>60322.400000000001</v>
      </c>
      <c r="C149">
        <f>cleaned_data!F149</f>
        <v>3350</v>
      </c>
      <c r="D149">
        <f>cleaned_data!G149</f>
        <v>0.108</v>
      </c>
      <c r="E149">
        <f>cleaned_data!I149</f>
        <v>89.4</v>
      </c>
      <c r="F149">
        <f>cleaned_data!L149</f>
        <v>3.4</v>
      </c>
      <c r="G149">
        <f>cleaned_data!K149</f>
        <v>0</v>
      </c>
      <c r="H149">
        <f>dummy_variables!F149</f>
        <v>1</v>
      </c>
      <c r="I149">
        <f>dummy_variables!G149</f>
        <v>0</v>
      </c>
      <c r="J149">
        <f>dummy_variables!H149</f>
        <v>0</v>
      </c>
      <c r="K149">
        <f>dummy_variables!I149</f>
        <v>0</v>
      </c>
      <c r="L149">
        <f>dummy_variables!J149</f>
        <v>0</v>
      </c>
      <c r="M149">
        <f>dummy_variables!K149</f>
        <v>0</v>
      </c>
    </row>
    <row r="150" spans="1:13">
      <c r="A150">
        <f>cleaned_data!M150</f>
        <v>614024.91</v>
      </c>
      <c r="B150">
        <f>cleaned_data!E150</f>
        <v>51575.68</v>
      </c>
      <c r="C150">
        <f>cleaned_data!F150</f>
        <v>5329</v>
      </c>
      <c r="D150">
        <f>cleaned_data!G150</f>
        <v>4.7E-2</v>
      </c>
      <c r="E150">
        <f>cleaned_data!I150</f>
        <v>88.1</v>
      </c>
      <c r="F150">
        <f>cleaned_data!L150</f>
        <v>3.8</v>
      </c>
      <c r="G150">
        <f>cleaned_data!K150</f>
        <v>0</v>
      </c>
      <c r="H150">
        <f>dummy_variables!F150</f>
        <v>0</v>
      </c>
      <c r="I150">
        <f>dummy_variables!G150</f>
        <v>1</v>
      </c>
      <c r="J150">
        <f>dummy_variables!H150</f>
        <v>0</v>
      </c>
      <c r="K150">
        <f>dummy_variables!I150</f>
        <v>0</v>
      </c>
      <c r="L150">
        <f>dummy_variables!J150</f>
        <v>0</v>
      </c>
      <c r="M150">
        <f>dummy_variables!K150</f>
        <v>1</v>
      </c>
    </row>
    <row r="151" spans="1:13">
      <c r="A151">
        <f>cleaned_data!M151</f>
        <v>712868.35</v>
      </c>
      <c r="B151">
        <f>cleaned_data!E151</f>
        <v>43319.94</v>
      </c>
      <c r="C151">
        <f>cleaned_data!F151</f>
        <v>6551</v>
      </c>
      <c r="D151">
        <f>cleaned_data!G151</f>
        <v>4.3999999999999997E-2</v>
      </c>
      <c r="E151">
        <f>cleaned_data!I151</f>
        <v>99</v>
      </c>
      <c r="F151">
        <f>cleaned_data!L151</f>
        <v>4.0999999999999996</v>
      </c>
      <c r="G151">
        <f>cleaned_data!K151</f>
        <v>0</v>
      </c>
      <c r="H151">
        <f>dummy_variables!F151</f>
        <v>0</v>
      </c>
      <c r="I151">
        <f>dummy_variables!G151</f>
        <v>1</v>
      </c>
      <c r="J151">
        <f>dummy_variables!H151</f>
        <v>0</v>
      </c>
      <c r="K151">
        <f>dummy_variables!I151</f>
        <v>0</v>
      </c>
      <c r="L151">
        <f>dummy_variables!J151</f>
        <v>0</v>
      </c>
      <c r="M151">
        <f>dummy_variables!K151</f>
        <v>1</v>
      </c>
    </row>
    <row r="152" spans="1:13">
      <c r="A152">
        <f>cleaned_data!M152</f>
        <v>696744.15</v>
      </c>
      <c r="B152">
        <f>cleaned_data!E152</f>
        <v>47093.55</v>
      </c>
      <c r="C152">
        <f>cleaned_data!F152</f>
        <v>5550</v>
      </c>
      <c r="D152">
        <f>cleaned_data!G152</f>
        <v>0.1</v>
      </c>
      <c r="E152">
        <f>cleaned_data!I152</f>
        <v>95</v>
      </c>
      <c r="F152">
        <f>cleaned_data!L152</f>
        <v>3.7</v>
      </c>
      <c r="G152">
        <f>cleaned_data!K152</f>
        <v>1</v>
      </c>
      <c r="H152">
        <f>dummy_variables!F152</f>
        <v>0</v>
      </c>
      <c r="I152">
        <f>dummy_variables!G152</f>
        <v>1</v>
      </c>
      <c r="J152">
        <f>dummy_variables!H152</f>
        <v>0</v>
      </c>
      <c r="K152">
        <f>dummy_variables!I152</f>
        <v>0</v>
      </c>
      <c r="L152">
        <f>dummy_variables!J152</f>
        <v>0</v>
      </c>
      <c r="M152">
        <f>dummy_variables!K152</f>
        <v>1</v>
      </c>
    </row>
    <row r="153" spans="1:13">
      <c r="A153">
        <f>cleaned_data!M153</f>
        <v>725847.99</v>
      </c>
      <c r="B153">
        <f>cleaned_data!E153</f>
        <v>71855.09</v>
      </c>
      <c r="C153">
        <f>cleaned_data!F153</f>
        <v>5911</v>
      </c>
      <c r="D153">
        <f>cleaned_data!G153</f>
        <v>0.19700000000000001</v>
      </c>
      <c r="E153">
        <f>cleaned_data!I153</f>
        <v>94.3</v>
      </c>
      <c r="F153">
        <f>cleaned_data!L153</f>
        <v>4.0999999999999996</v>
      </c>
      <c r="G153">
        <f>cleaned_data!K153</f>
        <v>0</v>
      </c>
      <c r="H153">
        <f>dummy_variables!F153</f>
        <v>0</v>
      </c>
      <c r="I153">
        <f>dummy_variables!G153</f>
        <v>1</v>
      </c>
      <c r="J153">
        <f>dummy_variables!H153</f>
        <v>0</v>
      </c>
      <c r="K153">
        <f>dummy_variables!I153</f>
        <v>0</v>
      </c>
      <c r="L153">
        <f>dummy_variables!J153</f>
        <v>0</v>
      </c>
      <c r="M153">
        <f>dummy_variables!K153</f>
        <v>1</v>
      </c>
    </row>
    <row r="154" spans="1:13">
      <c r="A154">
        <f>cleaned_data!M154</f>
        <v>785028.25</v>
      </c>
      <c r="B154">
        <f>cleaned_data!E154</f>
        <v>75645.23</v>
      </c>
      <c r="C154">
        <f>cleaned_data!F154</f>
        <v>9674</v>
      </c>
      <c r="D154">
        <f>cleaned_data!G154</f>
        <v>0.23400000000000001</v>
      </c>
      <c r="E154">
        <f>cleaned_data!I154</f>
        <v>87.4</v>
      </c>
      <c r="F154">
        <f>cleaned_data!L154</f>
        <v>4.5</v>
      </c>
      <c r="G154">
        <f>cleaned_data!K154</f>
        <v>0</v>
      </c>
      <c r="H154">
        <f>dummy_variables!F154</f>
        <v>0</v>
      </c>
      <c r="I154">
        <f>dummy_variables!G154</f>
        <v>0</v>
      </c>
      <c r="J154">
        <f>dummy_variables!H154</f>
        <v>0</v>
      </c>
      <c r="K154">
        <f>dummy_variables!I154</f>
        <v>0</v>
      </c>
      <c r="L154">
        <f>dummy_variables!J154</f>
        <v>1</v>
      </c>
      <c r="M154">
        <f>dummy_variables!K154</f>
        <v>0</v>
      </c>
    </row>
    <row r="155" spans="1:13">
      <c r="A155">
        <f>cleaned_data!M155</f>
        <v>698492.67</v>
      </c>
      <c r="B155">
        <f>cleaned_data!E155</f>
        <v>64374.75</v>
      </c>
      <c r="C155">
        <f>cleaned_data!F155</f>
        <v>6740</v>
      </c>
      <c r="D155">
        <f>cleaned_data!G155</f>
        <v>0.16900000000000001</v>
      </c>
      <c r="E155">
        <f>cleaned_data!I155</f>
        <v>87</v>
      </c>
      <c r="F155">
        <f>cleaned_data!L155</f>
        <v>4.2</v>
      </c>
      <c r="G155">
        <f>cleaned_data!K155</f>
        <v>0</v>
      </c>
      <c r="H155">
        <f>dummy_variables!F155</f>
        <v>0</v>
      </c>
      <c r="I155">
        <f>dummy_variables!G155</f>
        <v>0</v>
      </c>
      <c r="J155">
        <f>dummy_variables!H155</f>
        <v>0</v>
      </c>
      <c r="K155">
        <f>dummy_variables!I155</f>
        <v>0</v>
      </c>
      <c r="L155">
        <f>dummy_variables!J155</f>
        <v>1</v>
      </c>
      <c r="M155">
        <f>dummy_variables!K155</f>
        <v>0</v>
      </c>
    </row>
    <row r="156" spans="1:13">
      <c r="A156">
        <f>cleaned_data!M156</f>
        <v>685830.24</v>
      </c>
      <c r="B156">
        <f>cleaned_data!E156</f>
        <v>61433.84</v>
      </c>
      <c r="C156">
        <f>cleaned_data!F156</f>
        <v>7745</v>
      </c>
      <c r="D156">
        <f>cleaned_data!G156</f>
        <v>0.18</v>
      </c>
      <c r="E156">
        <f>cleaned_data!I156</f>
        <v>90.5</v>
      </c>
      <c r="F156">
        <f>cleaned_data!L156</f>
        <v>4.2</v>
      </c>
      <c r="G156">
        <f>cleaned_data!K156</f>
        <v>0</v>
      </c>
      <c r="H156">
        <f>dummy_variables!F156</f>
        <v>0</v>
      </c>
      <c r="I156">
        <f>dummy_variables!G156</f>
        <v>0</v>
      </c>
      <c r="J156">
        <f>dummy_variables!H156</f>
        <v>0</v>
      </c>
      <c r="K156">
        <f>dummy_variables!I156</f>
        <v>0</v>
      </c>
      <c r="L156">
        <f>dummy_variables!J156</f>
        <v>1</v>
      </c>
      <c r="M156">
        <f>dummy_variables!K156</f>
        <v>0</v>
      </c>
    </row>
    <row r="157" spans="1:13">
      <c r="A157">
        <f>cleaned_data!M157</f>
        <v>702318.94</v>
      </c>
      <c r="B157">
        <f>cleaned_data!E157</f>
        <v>42698.14</v>
      </c>
      <c r="C157">
        <f>cleaned_data!F157</f>
        <v>7693</v>
      </c>
      <c r="D157">
        <f>cleaned_data!G157</f>
        <v>0.187</v>
      </c>
      <c r="E157">
        <f>cleaned_data!I157</f>
        <v>90.1</v>
      </c>
      <c r="F157">
        <f>cleaned_data!L157</f>
        <v>4.4000000000000004</v>
      </c>
      <c r="G157">
        <f>cleaned_data!K157</f>
        <v>0</v>
      </c>
      <c r="H157">
        <f>dummy_variables!F157</f>
        <v>0</v>
      </c>
      <c r="I157">
        <f>dummy_variables!G157</f>
        <v>0</v>
      </c>
      <c r="J157">
        <f>dummy_variables!H157</f>
        <v>0</v>
      </c>
      <c r="K157">
        <f>dummy_variables!I157</f>
        <v>0</v>
      </c>
      <c r="L157">
        <f>dummy_variables!J157</f>
        <v>1</v>
      </c>
      <c r="M157">
        <f>dummy_variables!K157</f>
        <v>0</v>
      </c>
    </row>
    <row r="158" spans="1:13">
      <c r="A158">
        <f>cleaned_data!M158</f>
        <v>700078.32</v>
      </c>
      <c r="B158">
        <f>cleaned_data!E158</f>
        <v>86883.31</v>
      </c>
      <c r="C158">
        <f>cleaned_data!F158</f>
        <v>6424</v>
      </c>
      <c r="D158">
        <f>cleaned_data!G158</f>
        <v>5.7000000000000002E-2</v>
      </c>
      <c r="E158">
        <f>cleaned_data!I158</f>
        <v>85.2</v>
      </c>
      <c r="F158">
        <f>cleaned_data!L158</f>
        <v>3.9</v>
      </c>
      <c r="G158">
        <f>cleaned_data!K158</f>
        <v>0</v>
      </c>
      <c r="H158">
        <f>dummy_variables!F158</f>
        <v>1</v>
      </c>
      <c r="I158">
        <f>dummy_variables!G158</f>
        <v>0</v>
      </c>
      <c r="J158">
        <f>dummy_variables!H158</f>
        <v>0</v>
      </c>
      <c r="K158">
        <f>dummy_variables!I158</f>
        <v>0</v>
      </c>
      <c r="L158">
        <f>dummy_variables!J158</f>
        <v>0</v>
      </c>
      <c r="M158">
        <f>dummy_variables!K158</f>
        <v>1</v>
      </c>
    </row>
    <row r="159" spans="1:13">
      <c r="A159">
        <f>cleaned_data!M159</f>
        <v>602002.31999999995</v>
      </c>
      <c r="B159">
        <f>cleaned_data!E159</f>
        <v>41863.08</v>
      </c>
      <c r="C159">
        <f>cleaned_data!F159</f>
        <v>5400</v>
      </c>
      <c r="D159">
        <f>cleaned_data!G159</f>
        <v>0.114</v>
      </c>
      <c r="E159">
        <f>cleaned_data!I159</f>
        <v>91.6</v>
      </c>
      <c r="F159">
        <f>cleaned_data!L159</f>
        <v>3</v>
      </c>
      <c r="G159">
        <f>cleaned_data!K159</f>
        <v>0</v>
      </c>
      <c r="H159">
        <f>dummy_variables!F159</f>
        <v>1</v>
      </c>
      <c r="I159">
        <f>dummy_variables!G159</f>
        <v>0</v>
      </c>
      <c r="J159">
        <f>dummy_variables!H159</f>
        <v>0</v>
      </c>
      <c r="K159">
        <f>dummy_variables!I159</f>
        <v>0</v>
      </c>
      <c r="L159">
        <f>dummy_variables!J159</f>
        <v>0</v>
      </c>
      <c r="M159">
        <f>dummy_variables!K159</f>
        <v>1</v>
      </c>
    </row>
    <row r="160" spans="1:13">
      <c r="A160">
        <f>cleaned_data!M160</f>
        <v>724216.07</v>
      </c>
      <c r="B160">
        <f>cleaned_data!E160</f>
        <v>56918.16</v>
      </c>
      <c r="C160">
        <f>cleaned_data!F160</f>
        <v>7015</v>
      </c>
      <c r="D160">
        <f>cleaned_data!G160</f>
        <v>0.158</v>
      </c>
      <c r="E160">
        <f>cleaned_data!I160</f>
        <v>74.2</v>
      </c>
      <c r="F160">
        <f>cleaned_data!L160</f>
        <v>3.4</v>
      </c>
      <c r="G160">
        <f>cleaned_data!K160</f>
        <v>0</v>
      </c>
      <c r="H160">
        <f>dummy_variables!F160</f>
        <v>1</v>
      </c>
      <c r="I160">
        <f>dummy_variables!G160</f>
        <v>0</v>
      </c>
      <c r="J160">
        <f>dummy_variables!H160</f>
        <v>0</v>
      </c>
      <c r="K160">
        <f>dummy_variables!I160</f>
        <v>0</v>
      </c>
      <c r="L160">
        <f>dummy_variables!J160</f>
        <v>0</v>
      </c>
      <c r="M160">
        <f>dummy_variables!K160</f>
        <v>1</v>
      </c>
    </row>
    <row r="161" spans="1:13">
      <c r="A161">
        <f>cleaned_data!M161</f>
        <v>620973.03</v>
      </c>
      <c r="B161">
        <f>cleaned_data!E161</f>
        <v>23254.57</v>
      </c>
      <c r="C161">
        <f>cleaned_data!F161</f>
        <v>3847</v>
      </c>
      <c r="D161">
        <f>cleaned_data!G161</f>
        <v>0.159</v>
      </c>
      <c r="E161">
        <f>cleaned_data!I161</f>
        <v>93</v>
      </c>
      <c r="F161">
        <f>cleaned_data!L161</f>
        <v>3.3</v>
      </c>
      <c r="G161">
        <f>cleaned_data!K161</f>
        <v>0</v>
      </c>
      <c r="H161">
        <f>dummy_variables!F161</f>
        <v>1</v>
      </c>
      <c r="I161">
        <f>dummy_variables!G161</f>
        <v>0</v>
      </c>
      <c r="J161">
        <f>dummy_variables!H161</f>
        <v>0</v>
      </c>
      <c r="K161">
        <f>dummy_variables!I161</f>
        <v>0</v>
      </c>
      <c r="L161">
        <f>dummy_variables!J161</f>
        <v>0</v>
      </c>
      <c r="M161">
        <f>dummy_variables!K161</f>
        <v>1</v>
      </c>
    </row>
    <row r="162" spans="1:13">
      <c r="A162">
        <f>cleaned_data!M162</f>
        <v>650480.06000000006</v>
      </c>
      <c r="B162">
        <f>cleaned_data!E162</f>
        <v>41443.410000000003</v>
      </c>
      <c r="C162">
        <f>cleaned_data!F162</f>
        <v>7455</v>
      </c>
      <c r="D162">
        <f>cleaned_data!G162</f>
        <v>0.17499999999999999</v>
      </c>
      <c r="E162">
        <f>cleaned_data!I162</f>
        <v>90.1</v>
      </c>
      <c r="F162">
        <f>cleaned_data!L162</f>
        <v>4</v>
      </c>
      <c r="G162">
        <f>cleaned_data!K162</f>
        <v>0</v>
      </c>
      <c r="H162">
        <f>dummy_variables!F162</f>
        <v>0</v>
      </c>
      <c r="I162">
        <f>dummy_variables!G162</f>
        <v>1</v>
      </c>
      <c r="J162">
        <f>dummy_variables!H162</f>
        <v>0</v>
      </c>
      <c r="K162">
        <f>dummy_variables!I162</f>
        <v>0</v>
      </c>
      <c r="L162">
        <f>dummy_variables!J162</f>
        <v>1</v>
      </c>
      <c r="M162">
        <f>dummy_variables!K162</f>
        <v>0</v>
      </c>
    </row>
    <row r="163" spans="1:13">
      <c r="A163">
        <f>cleaned_data!M163</f>
        <v>778298.88</v>
      </c>
      <c r="B163">
        <f>cleaned_data!E163</f>
        <v>48438.85</v>
      </c>
      <c r="C163">
        <f>cleaned_data!F163</f>
        <v>6992</v>
      </c>
      <c r="D163">
        <f>cleaned_data!G163</f>
        <v>3.4000000000000002E-2</v>
      </c>
      <c r="E163">
        <f>cleaned_data!I163</f>
        <v>91</v>
      </c>
      <c r="F163">
        <f>cleaned_data!L163</f>
        <v>4.2</v>
      </c>
      <c r="G163">
        <f>cleaned_data!K163</f>
        <v>0</v>
      </c>
      <c r="H163">
        <f>dummy_variables!F163</f>
        <v>0</v>
      </c>
      <c r="I163">
        <f>dummy_variables!G163</f>
        <v>1</v>
      </c>
      <c r="J163">
        <f>dummy_variables!H163</f>
        <v>0</v>
      </c>
      <c r="K163">
        <f>dummy_variables!I163</f>
        <v>0</v>
      </c>
      <c r="L163">
        <f>dummy_variables!J163</f>
        <v>1</v>
      </c>
      <c r="M163">
        <f>dummy_variables!K163</f>
        <v>0</v>
      </c>
    </row>
    <row r="164" spans="1:13">
      <c r="A164">
        <f>cleaned_data!M164</f>
        <v>677096.71</v>
      </c>
      <c r="B164">
        <f>cleaned_data!E164</f>
        <v>57143.3</v>
      </c>
      <c r="C164">
        <f>cleaned_data!F164</f>
        <v>8038</v>
      </c>
      <c r="D164">
        <f>cleaned_data!G164</f>
        <v>0.193</v>
      </c>
      <c r="E164">
        <f>cleaned_data!I164</f>
        <v>72.599999999999994</v>
      </c>
      <c r="F164">
        <f>cleaned_data!L164</f>
        <v>4.2</v>
      </c>
      <c r="G164">
        <f>cleaned_data!K164</f>
        <v>0</v>
      </c>
      <c r="H164">
        <f>dummy_variables!F164</f>
        <v>0</v>
      </c>
      <c r="I164">
        <f>dummy_variables!G164</f>
        <v>1</v>
      </c>
      <c r="J164">
        <f>dummy_variables!H164</f>
        <v>0</v>
      </c>
      <c r="K164">
        <f>dummy_variables!I164</f>
        <v>0</v>
      </c>
      <c r="L164">
        <f>dummy_variables!J164</f>
        <v>1</v>
      </c>
      <c r="M164">
        <f>dummy_variables!K164</f>
        <v>0</v>
      </c>
    </row>
    <row r="165" spans="1:13">
      <c r="A165">
        <f>cleaned_data!M165</f>
        <v>692008.64</v>
      </c>
      <c r="B165">
        <f>cleaned_data!E165</f>
        <v>66870.62</v>
      </c>
      <c r="C165">
        <f>cleaned_data!F165</f>
        <v>6055</v>
      </c>
      <c r="D165">
        <f>cleaned_data!G165</f>
        <v>7.4999999999999997E-2</v>
      </c>
      <c r="E165">
        <f>cleaned_data!I165</f>
        <v>93.8</v>
      </c>
      <c r="F165">
        <f>cleaned_data!L165</f>
        <v>4.3</v>
      </c>
      <c r="G165">
        <f>cleaned_data!K165</f>
        <v>0</v>
      </c>
      <c r="H165">
        <f>dummy_variables!F165</f>
        <v>0</v>
      </c>
      <c r="I165">
        <f>dummy_variables!G165</f>
        <v>1</v>
      </c>
      <c r="J165">
        <f>dummy_variables!H165</f>
        <v>0</v>
      </c>
      <c r="K165">
        <f>dummy_variables!I165</f>
        <v>0</v>
      </c>
      <c r="L165">
        <f>dummy_variables!J165</f>
        <v>1</v>
      </c>
      <c r="M165">
        <f>dummy_variables!K165</f>
        <v>0</v>
      </c>
    </row>
    <row r="166" spans="1:13">
      <c r="A166">
        <f>cleaned_data!M166</f>
        <v>825797.91</v>
      </c>
      <c r="B166">
        <f>cleaned_data!E166</f>
        <v>72150.53</v>
      </c>
      <c r="C166">
        <f>cleaned_data!F166</f>
        <v>9323</v>
      </c>
      <c r="D166">
        <f>cleaned_data!G166</f>
        <v>0.157</v>
      </c>
      <c r="E166">
        <f>cleaned_data!I166</f>
        <v>82.9</v>
      </c>
      <c r="F166">
        <f>cleaned_data!L166</f>
        <v>4.3</v>
      </c>
      <c r="G166">
        <f>cleaned_data!K166</f>
        <v>1</v>
      </c>
      <c r="H166">
        <f>dummy_variables!F166</f>
        <v>1</v>
      </c>
      <c r="I166">
        <f>dummy_variables!G166</f>
        <v>0</v>
      </c>
      <c r="J166">
        <f>dummy_variables!H166</f>
        <v>0</v>
      </c>
      <c r="K166">
        <f>dummy_variables!I166</f>
        <v>0</v>
      </c>
      <c r="L166">
        <f>dummy_variables!J166</f>
        <v>0</v>
      </c>
      <c r="M166">
        <f>dummy_variables!K166</f>
        <v>1</v>
      </c>
    </row>
    <row r="167" spans="1:13">
      <c r="A167">
        <f>cleaned_data!M167</f>
        <v>706285.52</v>
      </c>
      <c r="B167">
        <f>cleaned_data!E167</f>
        <v>35303.300000000003</v>
      </c>
      <c r="C167">
        <f>cleaned_data!F167</f>
        <v>8789</v>
      </c>
      <c r="D167">
        <f>cleaned_data!G167</f>
        <v>0.123</v>
      </c>
      <c r="E167">
        <f>cleaned_data!I167</f>
        <v>86.1</v>
      </c>
      <c r="F167">
        <f>cleaned_data!L167</f>
        <v>4.2</v>
      </c>
      <c r="G167">
        <f>cleaned_data!K167</f>
        <v>0</v>
      </c>
      <c r="H167">
        <f>dummy_variables!F167</f>
        <v>1</v>
      </c>
      <c r="I167">
        <f>dummy_variables!G167</f>
        <v>0</v>
      </c>
      <c r="J167">
        <f>dummy_variables!H167</f>
        <v>0</v>
      </c>
      <c r="K167">
        <f>dummy_variables!I167</f>
        <v>0</v>
      </c>
      <c r="L167">
        <f>dummy_variables!J167</f>
        <v>0</v>
      </c>
      <c r="M167">
        <f>dummy_variables!K167</f>
        <v>1</v>
      </c>
    </row>
    <row r="168" spans="1:13">
      <c r="A168">
        <f>cleaned_data!M168</f>
        <v>665534.69999999995</v>
      </c>
      <c r="B168">
        <f>cleaned_data!E168</f>
        <v>30301.86</v>
      </c>
      <c r="C168">
        <f>cleaned_data!F168</f>
        <v>6939</v>
      </c>
      <c r="D168">
        <f>cleaned_data!G168</f>
        <v>0.09</v>
      </c>
      <c r="E168">
        <f>cleaned_data!I168</f>
        <v>90.3</v>
      </c>
      <c r="F168">
        <f>cleaned_data!L168</f>
        <v>4</v>
      </c>
      <c r="G168">
        <f>cleaned_data!K168</f>
        <v>0</v>
      </c>
      <c r="H168">
        <f>dummy_variables!F168</f>
        <v>1</v>
      </c>
      <c r="I168">
        <f>dummy_variables!G168</f>
        <v>0</v>
      </c>
      <c r="J168">
        <f>dummy_variables!H168</f>
        <v>0</v>
      </c>
      <c r="K168">
        <f>dummy_variables!I168</f>
        <v>0</v>
      </c>
      <c r="L168">
        <f>dummy_variables!J168</f>
        <v>0</v>
      </c>
      <c r="M168">
        <f>dummy_variables!K168</f>
        <v>1</v>
      </c>
    </row>
    <row r="169" spans="1:13">
      <c r="A169">
        <f>cleaned_data!M169</f>
        <v>820729.29</v>
      </c>
      <c r="B169">
        <f>cleaned_data!E169</f>
        <v>78432.14</v>
      </c>
      <c r="C169">
        <f>cleaned_data!F169</f>
        <v>9440</v>
      </c>
      <c r="D169">
        <f>cleaned_data!G169</f>
        <v>0.126</v>
      </c>
      <c r="E169">
        <f>cleaned_data!I169</f>
        <v>89.2</v>
      </c>
      <c r="F169">
        <f>cleaned_data!L169</f>
        <v>4.0999999999999996</v>
      </c>
      <c r="G169">
        <f>cleaned_data!K169</f>
        <v>0</v>
      </c>
      <c r="H169">
        <f>dummy_variables!F169</f>
        <v>1</v>
      </c>
      <c r="I169">
        <f>dummy_variables!G169</f>
        <v>0</v>
      </c>
      <c r="J169">
        <f>dummy_variables!H169</f>
        <v>0</v>
      </c>
      <c r="K169">
        <f>dummy_variables!I169</f>
        <v>0</v>
      </c>
      <c r="L169">
        <f>dummy_variables!J169</f>
        <v>0</v>
      </c>
      <c r="M169">
        <f>dummy_variables!K169</f>
        <v>1</v>
      </c>
    </row>
    <row r="170" spans="1:13">
      <c r="A170">
        <f>cleaned_data!M170</f>
        <v>739831.73</v>
      </c>
      <c r="B170">
        <f>cleaned_data!E170</f>
        <v>62059.18</v>
      </c>
      <c r="C170">
        <f>cleaned_data!F170</f>
        <v>9374</v>
      </c>
      <c r="D170">
        <f>cleaned_data!G170</f>
        <v>0.13600000000000001</v>
      </c>
      <c r="E170">
        <f>cleaned_data!I170</f>
        <v>87.1</v>
      </c>
      <c r="F170">
        <f>cleaned_data!L170</f>
        <v>4.9000000000000004</v>
      </c>
      <c r="G170">
        <f>cleaned_data!K170</f>
        <v>0</v>
      </c>
      <c r="H170">
        <f>dummy_variables!F170</f>
        <v>0</v>
      </c>
      <c r="I170">
        <f>dummy_variables!G170</f>
        <v>0</v>
      </c>
      <c r="J170">
        <f>dummy_variables!H170</f>
        <v>0</v>
      </c>
      <c r="K170">
        <f>dummy_variables!I170</f>
        <v>0</v>
      </c>
      <c r="L170">
        <f>dummy_variables!J170</f>
        <v>0</v>
      </c>
      <c r="M170">
        <f>dummy_variables!K170</f>
        <v>0</v>
      </c>
    </row>
    <row r="171" spans="1:13">
      <c r="A171">
        <f>cleaned_data!M171</f>
        <v>593637.14</v>
      </c>
      <c r="B171">
        <f>cleaned_data!E171</f>
        <v>32834.480000000003</v>
      </c>
      <c r="C171">
        <f>cleaned_data!F171</f>
        <v>7576</v>
      </c>
      <c r="D171">
        <f>cleaned_data!G171</f>
        <v>9.9000000000000005E-2</v>
      </c>
      <c r="E171">
        <f>cleaned_data!I171</f>
        <v>84.1</v>
      </c>
      <c r="F171">
        <f>cleaned_data!L171</f>
        <v>5</v>
      </c>
      <c r="G171">
        <f>cleaned_data!K171</f>
        <v>0</v>
      </c>
      <c r="H171">
        <f>dummy_variables!F171</f>
        <v>0</v>
      </c>
      <c r="I171">
        <f>dummy_variables!G171</f>
        <v>0</v>
      </c>
      <c r="J171">
        <f>dummy_variables!H171</f>
        <v>0</v>
      </c>
      <c r="K171">
        <f>dummy_variables!I171</f>
        <v>0</v>
      </c>
      <c r="L171">
        <f>dummy_variables!J171</f>
        <v>0</v>
      </c>
      <c r="M171">
        <f>dummy_variables!K171</f>
        <v>0</v>
      </c>
    </row>
    <row r="172" spans="1:13">
      <c r="A172">
        <f>cleaned_data!M172</f>
        <v>769702.76</v>
      </c>
      <c r="B172">
        <f>cleaned_data!E172</f>
        <v>50825.08</v>
      </c>
      <c r="C172">
        <f>cleaned_data!F172</f>
        <v>8949</v>
      </c>
      <c r="D172">
        <f>cleaned_data!G172</f>
        <v>0.157</v>
      </c>
      <c r="E172">
        <f>cleaned_data!I172</f>
        <v>84.7</v>
      </c>
      <c r="F172">
        <f>cleaned_data!L172</f>
        <v>4.9000000000000004</v>
      </c>
      <c r="G172">
        <f>cleaned_data!K172</f>
        <v>0</v>
      </c>
      <c r="H172">
        <f>dummy_variables!F172</f>
        <v>0</v>
      </c>
      <c r="I172">
        <f>dummy_variables!G172</f>
        <v>0</v>
      </c>
      <c r="J172">
        <f>dummy_variables!H172</f>
        <v>0</v>
      </c>
      <c r="K172">
        <f>dummy_variables!I172</f>
        <v>0</v>
      </c>
      <c r="L172">
        <f>dummy_variables!J172</f>
        <v>0</v>
      </c>
      <c r="M172">
        <f>dummy_variables!K172</f>
        <v>0</v>
      </c>
    </row>
    <row r="173" spans="1:13">
      <c r="A173">
        <f>cleaned_data!M173</f>
        <v>679731.57</v>
      </c>
      <c r="B173">
        <f>cleaned_data!E173</f>
        <v>36606.51</v>
      </c>
      <c r="C173">
        <f>cleaned_data!F173</f>
        <v>7671</v>
      </c>
      <c r="D173">
        <f>cleaned_data!G173</f>
        <v>0.11799999999999999</v>
      </c>
      <c r="E173">
        <f>cleaned_data!I173</f>
        <v>89.8</v>
      </c>
      <c r="F173">
        <f>cleaned_data!L173</f>
        <v>4.4000000000000004</v>
      </c>
      <c r="G173">
        <f>cleaned_data!K173</f>
        <v>0</v>
      </c>
      <c r="H173">
        <f>dummy_variables!F173</f>
        <v>0</v>
      </c>
      <c r="I173">
        <f>dummy_variables!G173</f>
        <v>0</v>
      </c>
      <c r="J173">
        <f>dummy_variables!H173</f>
        <v>0</v>
      </c>
      <c r="K173">
        <f>dummy_variables!I173</f>
        <v>0</v>
      </c>
      <c r="L173">
        <f>dummy_variables!J173</f>
        <v>0</v>
      </c>
      <c r="M173">
        <f>dummy_variables!K173</f>
        <v>0</v>
      </c>
    </row>
    <row r="174" spans="1:13">
      <c r="A174">
        <f>cleaned_data!M174</f>
        <v>780344.18</v>
      </c>
      <c r="B174">
        <f>cleaned_data!E174</f>
        <v>65237.79</v>
      </c>
      <c r="C174">
        <f>cleaned_data!F174</f>
        <v>8741</v>
      </c>
      <c r="D174">
        <f>cleaned_data!G174</f>
        <v>0.157</v>
      </c>
      <c r="E174">
        <f>cleaned_data!I174</f>
        <v>94.4</v>
      </c>
      <c r="F174">
        <f>cleaned_data!L174</f>
        <v>3.3</v>
      </c>
      <c r="G174">
        <f>cleaned_data!K174</f>
        <v>0</v>
      </c>
      <c r="H174">
        <f>dummy_variables!F174</f>
        <v>0</v>
      </c>
      <c r="I174">
        <f>dummy_variables!G174</f>
        <v>0</v>
      </c>
      <c r="J174">
        <f>dummy_variables!H174</f>
        <v>0</v>
      </c>
      <c r="K174">
        <f>dummy_variables!I174</f>
        <v>0</v>
      </c>
      <c r="L174">
        <f>dummy_variables!J174</f>
        <v>0</v>
      </c>
      <c r="M174">
        <f>dummy_variables!K174</f>
        <v>0</v>
      </c>
    </row>
    <row r="175" spans="1:13">
      <c r="A175">
        <f>cleaned_data!M175</f>
        <v>721364.11</v>
      </c>
      <c r="B175">
        <f>cleaned_data!E175</f>
        <v>43645.98</v>
      </c>
      <c r="C175">
        <f>cleaned_data!F175</f>
        <v>9480</v>
      </c>
      <c r="D175">
        <f>cleaned_data!G175</f>
        <v>0.109</v>
      </c>
      <c r="E175">
        <f>cleaned_data!I175</f>
        <v>89</v>
      </c>
      <c r="F175">
        <f>cleaned_data!L175</f>
        <v>3.1</v>
      </c>
      <c r="G175">
        <f>cleaned_data!K175</f>
        <v>0</v>
      </c>
      <c r="H175">
        <f>dummy_variables!F175</f>
        <v>0</v>
      </c>
      <c r="I175">
        <f>dummy_variables!G175</f>
        <v>0</v>
      </c>
      <c r="J175">
        <f>dummy_variables!H175</f>
        <v>0</v>
      </c>
      <c r="K175">
        <f>dummy_variables!I175</f>
        <v>0</v>
      </c>
      <c r="L175">
        <f>dummy_variables!J175</f>
        <v>0</v>
      </c>
      <c r="M175">
        <f>dummy_variables!K175</f>
        <v>0</v>
      </c>
    </row>
    <row r="176" spans="1:13">
      <c r="A176">
        <f>cleaned_data!M176</f>
        <v>758138.29</v>
      </c>
      <c r="B176">
        <f>cleaned_data!E176</f>
        <v>68040.149999999994</v>
      </c>
      <c r="C176">
        <f>cleaned_data!F176</f>
        <v>9826</v>
      </c>
      <c r="D176">
        <f>cleaned_data!G176</f>
        <v>0.125</v>
      </c>
      <c r="E176">
        <f>cleaned_data!I176</f>
        <v>83.9</v>
      </c>
      <c r="F176">
        <f>cleaned_data!L176</f>
        <v>3.6</v>
      </c>
      <c r="G176">
        <f>cleaned_data!K176</f>
        <v>0</v>
      </c>
      <c r="H176">
        <f>dummy_variables!F176</f>
        <v>0</v>
      </c>
      <c r="I176">
        <f>dummy_variables!G176</f>
        <v>0</v>
      </c>
      <c r="J176">
        <f>dummy_variables!H176</f>
        <v>0</v>
      </c>
      <c r="K176">
        <f>dummy_variables!I176</f>
        <v>0</v>
      </c>
      <c r="L176">
        <f>dummy_variables!J176</f>
        <v>0</v>
      </c>
      <c r="M176">
        <f>dummy_variables!K176</f>
        <v>0</v>
      </c>
    </row>
    <row r="177" spans="1:13">
      <c r="A177">
        <f>cleaned_data!M177</f>
        <v>804264</v>
      </c>
      <c r="B177">
        <f>cleaned_data!E177</f>
        <v>63043.94</v>
      </c>
      <c r="C177">
        <f>cleaned_data!F177</f>
        <v>10402</v>
      </c>
      <c r="D177">
        <f>cleaned_data!G177</f>
        <v>0.159</v>
      </c>
      <c r="E177">
        <f>cleaned_data!I177</f>
        <v>93.9</v>
      </c>
      <c r="F177">
        <f>cleaned_data!L177</f>
        <v>3.1</v>
      </c>
      <c r="G177">
        <f>cleaned_data!K177</f>
        <v>0</v>
      </c>
      <c r="H177">
        <f>dummy_variables!F177</f>
        <v>0</v>
      </c>
      <c r="I177">
        <f>dummy_variables!G177</f>
        <v>0</v>
      </c>
      <c r="J177">
        <f>dummy_variables!H177</f>
        <v>0</v>
      </c>
      <c r="K177">
        <f>dummy_variables!I177</f>
        <v>0</v>
      </c>
      <c r="L177">
        <f>dummy_variables!J177</f>
        <v>0</v>
      </c>
      <c r="M177">
        <f>dummy_variables!K177</f>
        <v>0</v>
      </c>
    </row>
    <row r="178" spans="1:13">
      <c r="A178">
        <f>cleaned_data!M178</f>
        <v>887537.75</v>
      </c>
      <c r="B178">
        <f>cleaned_data!E178</f>
        <v>67494.09</v>
      </c>
      <c r="C178">
        <f>cleaned_data!F178</f>
        <v>12361</v>
      </c>
      <c r="D178">
        <f>cleaned_data!G178</f>
        <v>4.5999999999999999E-2</v>
      </c>
      <c r="E178">
        <f>cleaned_data!I178</f>
        <v>76.599999999999994</v>
      </c>
      <c r="F178">
        <f>cleaned_data!L178</f>
        <v>3.7</v>
      </c>
      <c r="G178">
        <f>cleaned_data!K178</f>
        <v>1</v>
      </c>
      <c r="H178">
        <f>dummy_variables!F178</f>
        <v>0</v>
      </c>
      <c r="I178">
        <f>dummy_variables!G178</f>
        <v>0</v>
      </c>
      <c r="J178">
        <f>dummy_variables!H178</f>
        <v>1</v>
      </c>
      <c r="K178">
        <f>dummy_variables!I178</f>
        <v>1</v>
      </c>
      <c r="L178">
        <f>dummy_variables!J178</f>
        <v>0</v>
      </c>
      <c r="M178">
        <f>dummy_variables!K178</f>
        <v>0</v>
      </c>
    </row>
    <row r="179" spans="1:13">
      <c r="A179">
        <f>cleaned_data!M179</f>
        <v>783582</v>
      </c>
      <c r="B179">
        <f>cleaned_data!E179</f>
        <v>29389.32</v>
      </c>
      <c r="C179">
        <f>cleaned_data!F179</f>
        <v>7925</v>
      </c>
      <c r="D179">
        <f>cleaned_data!G179</f>
        <v>0.17699999999999999</v>
      </c>
      <c r="E179">
        <f>cleaned_data!I179</f>
        <v>90.9</v>
      </c>
      <c r="F179">
        <f>cleaned_data!L179</f>
        <v>4</v>
      </c>
      <c r="G179">
        <f>cleaned_data!K179</f>
        <v>0</v>
      </c>
      <c r="H179">
        <f>dummy_variables!F179</f>
        <v>0</v>
      </c>
      <c r="I179">
        <f>dummy_variables!G179</f>
        <v>0</v>
      </c>
      <c r="J179">
        <f>dummy_variables!H179</f>
        <v>1</v>
      </c>
      <c r="K179">
        <f>dummy_variables!I179</f>
        <v>1</v>
      </c>
      <c r="L179">
        <f>dummy_variables!J179</f>
        <v>0</v>
      </c>
      <c r="M179">
        <f>dummy_variables!K179</f>
        <v>0</v>
      </c>
    </row>
    <row r="180" spans="1:13">
      <c r="A180">
        <f>cleaned_data!M180</f>
        <v>781955.52</v>
      </c>
      <c r="B180">
        <f>cleaned_data!E180</f>
        <v>40535.089999999997</v>
      </c>
      <c r="C180">
        <f>cleaned_data!F180</f>
        <v>8870</v>
      </c>
      <c r="D180">
        <f>cleaned_data!G180</f>
        <v>4.1000000000000002E-2</v>
      </c>
      <c r="E180">
        <f>cleaned_data!I180</f>
        <v>86.6</v>
      </c>
      <c r="F180">
        <f>cleaned_data!L180</f>
        <v>4.0999999999999996</v>
      </c>
      <c r="G180">
        <f>cleaned_data!K180</f>
        <v>0</v>
      </c>
      <c r="H180">
        <f>dummy_variables!F180</f>
        <v>0</v>
      </c>
      <c r="I180">
        <f>dummy_variables!G180</f>
        <v>0</v>
      </c>
      <c r="J180">
        <f>dummy_variables!H180</f>
        <v>1</v>
      </c>
      <c r="K180">
        <f>dummy_variables!I180</f>
        <v>1</v>
      </c>
      <c r="L180">
        <f>dummy_variables!J180</f>
        <v>0</v>
      </c>
      <c r="M180">
        <f>dummy_variables!K180</f>
        <v>0</v>
      </c>
    </row>
    <row r="181" spans="1:13">
      <c r="A181">
        <f>cleaned_data!M181</f>
        <v>898031.04</v>
      </c>
      <c r="B181">
        <f>cleaned_data!E181</f>
        <v>74881.56</v>
      </c>
      <c r="C181">
        <f>cleaned_data!F181</f>
        <v>9999</v>
      </c>
      <c r="D181">
        <f>cleaned_data!G181</f>
        <v>1.2999999999999999E-2</v>
      </c>
      <c r="E181">
        <f>cleaned_data!I181</f>
        <v>89.6</v>
      </c>
      <c r="F181">
        <f>cleaned_data!L181</f>
        <v>4.0999999999999996</v>
      </c>
      <c r="G181">
        <f>cleaned_data!K181</f>
        <v>0</v>
      </c>
      <c r="H181">
        <f>dummy_variables!F181</f>
        <v>0</v>
      </c>
      <c r="I181">
        <f>dummy_variables!G181</f>
        <v>0</v>
      </c>
      <c r="J181">
        <f>dummy_variables!H181</f>
        <v>1</v>
      </c>
      <c r="K181">
        <f>dummy_variables!I181</f>
        <v>1</v>
      </c>
      <c r="L181">
        <f>dummy_variables!J181</f>
        <v>0</v>
      </c>
      <c r="M181">
        <f>dummy_variables!K181</f>
        <v>0</v>
      </c>
    </row>
    <row r="182" spans="1:13">
      <c r="A182">
        <f>cleaned_data!M182</f>
        <v>855341.28</v>
      </c>
      <c r="B182">
        <f>cleaned_data!E182</f>
        <v>68491.11</v>
      </c>
      <c r="C182">
        <f>cleaned_data!F182</f>
        <v>11154</v>
      </c>
      <c r="D182">
        <f>cleaned_data!G182</f>
        <v>1E-3</v>
      </c>
      <c r="E182">
        <f>cleaned_data!I182</f>
        <v>89.4</v>
      </c>
      <c r="F182">
        <f>cleaned_data!L182</f>
        <v>3.9</v>
      </c>
      <c r="G182">
        <f>cleaned_data!K182</f>
        <v>1</v>
      </c>
      <c r="H182">
        <f>dummy_variables!F182</f>
        <v>0</v>
      </c>
      <c r="I182">
        <f>dummy_variables!G182</f>
        <v>0</v>
      </c>
      <c r="J182">
        <f>dummy_variables!H182</f>
        <v>1</v>
      </c>
      <c r="K182">
        <f>dummy_variables!I182</f>
        <v>0</v>
      </c>
      <c r="L182">
        <f>dummy_variables!J182</f>
        <v>0</v>
      </c>
      <c r="M182">
        <f>dummy_variables!K182</f>
        <v>0</v>
      </c>
    </row>
    <row r="183" spans="1:13">
      <c r="A183">
        <f>cleaned_data!M183</f>
        <v>751393.88</v>
      </c>
      <c r="B183">
        <f>cleaned_data!E183</f>
        <v>45209.25</v>
      </c>
      <c r="C183">
        <f>cleaned_data!F183</f>
        <v>9287</v>
      </c>
      <c r="D183">
        <f>cleaned_data!G183</f>
        <v>0.14099999999999999</v>
      </c>
      <c r="E183">
        <f>cleaned_data!I183</f>
        <v>86.4</v>
      </c>
      <c r="F183">
        <f>cleaned_data!L183</f>
        <v>3.6</v>
      </c>
      <c r="G183">
        <f>cleaned_data!K183</f>
        <v>0</v>
      </c>
      <c r="H183">
        <f>dummy_variables!F183</f>
        <v>0</v>
      </c>
      <c r="I183">
        <f>dummy_variables!G183</f>
        <v>0</v>
      </c>
      <c r="J183">
        <f>dummy_variables!H183</f>
        <v>1</v>
      </c>
      <c r="K183">
        <f>dummy_variables!I183</f>
        <v>0</v>
      </c>
      <c r="L183">
        <f>dummy_variables!J183</f>
        <v>0</v>
      </c>
      <c r="M183">
        <f>dummy_variables!K183</f>
        <v>0</v>
      </c>
    </row>
    <row r="184" spans="1:13">
      <c r="A184">
        <f>cleaned_data!M184</f>
        <v>761077.08</v>
      </c>
      <c r="B184">
        <f>cleaned_data!E184</f>
        <v>63010.23</v>
      </c>
      <c r="C184">
        <f>cleaned_data!F184</f>
        <v>9812</v>
      </c>
      <c r="D184">
        <f>cleaned_data!G184</f>
        <v>0.113</v>
      </c>
      <c r="E184">
        <f>cleaned_data!I184</f>
        <v>76.8</v>
      </c>
      <c r="F184">
        <f>cleaned_data!L184</f>
        <v>3.8</v>
      </c>
      <c r="G184">
        <f>cleaned_data!K184</f>
        <v>1</v>
      </c>
      <c r="H184">
        <f>dummy_variables!F184</f>
        <v>0</v>
      </c>
      <c r="I184">
        <f>dummy_variables!G184</f>
        <v>0</v>
      </c>
      <c r="J184">
        <f>dummy_variables!H184</f>
        <v>1</v>
      </c>
      <c r="K184">
        <f>dummy_variables!I184</f>
        <v>0</v>
      </c>
      <c r="L184">
        <f>dummy_variables!J184</f>
        <v>0</v>
      </c>
      <c r="M184">
        <f>dummy_variables!K184</f>
        <v>0</v>
      </c>
    </row>
    <row r="185" spans="1:13">
      <c r="A185">
        <f>cleaned_data!M185</f>
        <v>819660.59</v>
      </c>
      <c r="B185">
        <f>cleaned_data!E185</f>
        <v>57948.88</v>
      </c>
      <c r="C185">
        <f>cleaned_data!F185</f>
        <v>10741</v>
      </c>
      <c r="D185">
        <f>cleaned_data!G185</f>
        <v>7.0000000000000007E-2</v>
      </c>
      <c r="E185">
        <f>cleaned_data!I185</f>
        <v>90.1</v>
      </c>
      <c r="F185">
        <f>cleaned_data!L185</f>
        <v>3.1</v>
      </c>
      <c r="G185">
        <f>cleaned_data!K185</f>
        <v>0</v>
      </c>
      <c r="H185">
        <f>dummy_variables!F185</f>
        <v>0</v>
      </c>
      <c r="I185">
        <f>dummy_variables!G185</f>
        <v>0</v>
      </c>
      <c r="J185">
        <f>dummy_variables!H185</f>
        <v>1</v>
      </c>
      <c r="K185">
        <f>dummy_variables!I185</f>
        <v>0</v>
      </c>
      <c r="L185">
        <f>dummy_variables!J185</f>
        <v>0</v>
      </c>
      <c r="M185">
        <f>dummy_variables!K185</f>
        <v>0</v>
      </c>
    </row>
    <row r="186" spans="1:13">
      <c r="A186">
        <f>cleaned_data!M186</f>
        <v>681855.56</v>
      </c>
      <c r="B186">
        <f>cleaned_data!E186</f>
        <v>71941.62</v>
      </c>
      <c r="C186">
        <f>cleaned_data!F186</f>
        <v>6084</v>
      </c>
      <c r="D186">
        <f>cleaned_data!G186</f>
        <v>7.1999999999999995E-2</v>
      </c>
      <c r="E186">
        <f>cleaned_data!I186</f>
        <v>93.7</v>
      </c>
      <c r="F186">
        <f>cleaned_data!L186</f>
        <v>4.4000000000000004</v>
      </c>
      <c r="G186">
        <f>cleaned_data!K186</f>
        <v>0</v>
      </c>
      <c r="H186">
        <f>dummy_variables!F186</f>
        <v>1</v>
      </c>
      <c r="I186">
        <f>dummy_variables!G186</f>
        <v>0</v>
      </c>
      <c r="J186">
        <f>dummy_variables!H186</f>
        <v>0</v>
      </c>
      <c r="K186">
        <f>dummy_variables!I186</f>
        <v>0</v>
      </c>
      <c r="L186">
        <f>dummy_variables!J186</f>
        <v>1</v>
      </c>
      <c r="M186">
        <f>dummy_variables!K186</f>
        <v>0</v>
      </c>
    </row>
    <row r="187" spans="1:13">
      <c r="A187">
        <f>cleaned_data!M187</f>
        <v>678311.17</v>
      </c>
      <c r="B187">
        <f>cleaned_data!E187</f>
        <v>57147.88</v>
      </c>
      <c r="C187">
        <f>cleaned_data!F187</f>
        <v>5252</v>
      </c>
      <c r="D187">
        <f>cleaned_data!G187</f>
        <v>0.161</v>
      </c>
      <c r="E187">
        <f>cleaned_data!I187</f>
        <v>95.5</v>
      </c>
      <c r="F187">
        <f>cleaned_data!L187</f>
        <v>4.4000000000000004</v>
      </c>
      <c r="G187">
        <f>cleaned_data!K187</f>
        <v>0</v>
      </c>
      <c r="H187">
        <f>dummy_variables!F187</f>
        <v>1</v>
      </c>
      <c r="I187">
        <f>dummy_variables!G187</f>
        <v>0</v>
      </c>
      <c r="J187">
        <f>dummy_variables!H187</f>
        <v>0</v>
      </c>
      <c r="K187">
        <f>dummy_variables!I187</f>
        <v>0</v>
      </c>
      <c r="L187">
        <f>dummy_variables!J187</f>
        <v>1</v>
      </c>
      <c r="M187">
        <f>dummy_variables!K187</f>
        <v>0</v>
      </c>
    </row>
    <row r="188" spans="1:13">
      <c r="A188">
        <f>cleaned_data!M188</f>
        <v>765906.95</v>
      </c>
      <c r="B188">
        <f>cleaned_data!E188</f>
        <v>48031.74</v>
      </c>
      <c r="C188">
        <f>cleaned_data!F188</f>
        <v>6516</v>
      </c>
      <c r="D188">
        <f>cleaned_data!G188</f>
        <v>6.7000000000000004E-2</v>
      </c>
      <c r="E188">
        <f>cleaned_data!I188</f>
        <v>99</v>
      </c>
      <c r="F188">
        <f>cleaned_data!L188</f>
        <v>4.3</v>
      </c>
      <c r="G188">
        <f>cleaned_data!K188</f>
        <v>1</v>
      </c>
      <c r="H188">
        <f>dummy_variables!F188</f>
        <v>1</v>
      </c>
      <c r="I188">
        <f>dummy_variables!G188</f>
        <v>0</v>
      </c>
      <c r="J188">
        <f>dummy_variables!H188</f>
        <v>0</v>
      </c>
      <c r="K188">
        <f>dummy_variables!I188</f>
        <v>0</v>
      </c>
      <c r="L188">
        <f>dummy_variables!J188</f>
        <v>1</v>
      </c>
      <c r="M188">
        <f>dummy_variables!K188</f>
        <v>0</v>
      </c>
    </row>
    <row r="189" spans="1:13">
      <c r="A189">
        <f>cleaned_data!M189</f>
        <v>712546.38</v>
      </c>
      <c r="B189">
        <f>cleaned_data!E189</f>
        <v>72784.800000000003</v>
      </c>
      <c r="C189">
        <f>cleaned_data!F189</f>
        <v>7932</v>
      </c>
      <c r="D189">
        <f>cleaned_data!G189</f>
        <v>9.4E-2</v>
      </c>
      <c r="E189">
        <f>cleaned_data!I189</f>
        <v>74.900000000000006</v>
      </c>
      <c r="F189">
        <f>cleaned_data!L189</f>
        <v>4.2</v>
      </c>
      <c r="G189">
        <f>cleaned_data!K189</f>
        <v>0</v>
      </c>
      <c r="H189">
        <f>dummy_variables!F189</f>
        <v>1</v>
      </c>
      <c r="I189">
        <f>dummy_variables!G189</f>
        <v>0</v>
      </c>
      <c r="J189">
        <f>dummy_variables!H189</f>
        <v>0</v>
      </c>
      <c r="K189">
        <f>dummy_variables!I189</f>
        <v>0</v>
      </c>
      <c r="L189">
        <f>dummy_variables!J189</f>
        <v>1</v>
      </c>
      <c r="M189">
        <f>dummy_variables!K189</f>
        <v>0</v>
      </c>
    </row>
    <row r="190" spans="1:13">
      <c r="A190">
        <f>cleaned_data!M190</f>
        <v>625993.82999999996</v>
      </c>
      <c r="B190">
        <f>cleaned_data!E190</f>
        <v>71641.899999999994</v>
      </c>
      <c r="C190">
        <f>cleaned_data!F190</f>
        <v>3506</v>
      </c>
      <c r="D190">
        <f>cleaned_data!G190</f>
        <v>0</v>
      </c>
      <c r="E190">
        <f>cleaned_data!I190</f>
        <v>86.4</v>
      </c>
      <c r="F190">
        <f>cleaned_data!L190</f>
        <v>4.0999999999999996</v>
      </c>
      <c r="G190">
        <f>cleaned_data!K190</f>
        <v>0</v>
      </c>
      <c r="H190">
        <f>dummy_variables!F190</f>
        <v>0</v>
      </c>
      <c r="I190">
        <f>dummy_variables!G190</f>
        <v>0</v>
      </c>
      <c r="J190">
        <f>dummy_variables!H190</f>
        <v>0</v>
      </c>
      <c r="K190">
        <f>dummy_variables!I190</f>
        <v>0</v>
      </c>
      <c r="L190">
        <f>dummy_variables!J190</f>
        <v>1</v>
      </c>
      <c r="M190">
        <f>dummy_variables!K190</f>
        <v>0</v>
      </c>
    </row>
    <row r="191" spans="1:13">
      <c r="A191">
        <f>cleaned_data!M191</f>
        <v>550962.93000000005</v>
      </c>
      <c r="B191">
        <f>cleaned_data!E191</f>
        <v>55788.61</v>
      </c>
      <c r="C191">
        <f>cleaned_data!F191</f>
        <v>2312</v>
      </c>
      <c r="D191">
        <f>cleaned_data!G191</f>
        <v>5.8000000000000003E-2</v>
      </c>
      <c r="E191">
        <f>cleaned_data!I191</f>
        <v>91.3</v>
      </c>
      <c r="F191">
        <f>cleaned_data!L191</f>
        <v>3.8</v>
      </c>
      <c r="G191">
        <f>cleaned_data!K191</f>
        <v>0</v>
      </c>
      <c r="H191">
        <f>dummy_variables!F191</f>
        <v>0</v>
      </c>
      <c r="I191">
        <f>dummy_variables!G191</f>
        <v>0</v>
      </c>
      <c r="J191">
        <f>dummy_variables!H191</f>
        <v>0</v>
      </c>
      <c r="K191">
        <f>dummy_variables!I191</f>
        <v>0</v>
      </c>
      <c r="L191">
        <f>dummy_variables!J191</f>
        <v>1</v>
      </c>
      <c r="M191">
        <f>dummy_variables!K191</f>
        <v>0</v>
      </c>
    </row>
    <row r="192" spans="1:13">
      <c r="A192">
        <f>cleaned_data!M192</f>
        <v>443275.59</v>
      </c>
      <c r="B192">
        <f>cleaned_data!E192</f>
        <v>37705.879999999997</v>
      </c>
      <c r="C192">
        <f>cleaned_data!F192</f>
        <v>1268</v>
      </c>
      <c r="D192">
        <f>cleaned_data!G192</f>
        <v>0.25900000000000001</v>
      </c>
      <c r="E192">
        <f>cleaned_data!I192</f>
        <v>84.1</v>
      </c>
      <c r="F192">
        <f>cleaned_data!L192</f>
        <v>3.8</v>
      </c>
      <c r="G192">
        <f>cleaned_data!K192</f>
        <v>0</v>
      </c>
      <c r="H192">
        <f>dummy_variables!F192</f>
        <v>0</v>
      </c>
      <c r="I192">
        <f>dummy_variables!G192</f>
        <v>0</v>
      </c>
      <c r="J192">
        <f>dummy_variables!H192</f>
        <v>0</v>
      </c>
      <c r="K192">
        <f>dummy_variables!I192</f>
        <v>0</v>
      </c>
      <c r="L192">
        <f>dummy_variables!J192</f>
        <v>1</v>
      </c>
      <c r="M192">
        <f>dummy_variables!K192</f>
        <v>0</v>
      </c>
    </row>
    <row r="193" spans="1:13">
      <c r="A193">
        <f>cleaned_data!M193</f>
        <v>554012.06999999995</v>
      </c>
      <c r="B193">
        <f>cleaned_data!E193</f>
        <v>54966.18</v>
      </c>
      <c r="C193">
        <f>cleaned_data!F193</f>
        <v>4423</v>
      </c>
      <c r="D193">
        <f>cleaned_data!G193</f>
        <v>0.186</v>
      </c>
      <c r="E193">
        <f>cleaned_data!I193</f>
        <v>88.7</v>
      </c>
      <c r="F193">
        <f>cleaned_data!L193</f>
        <v>4.4000000000000004</v>
      </c>
      <c r="G193">
        <f>cleaned_data!K193</f>
        <v>0</v>
      </c>
      <c r="H193">
        <f>dummy_variables!F193</f>
        <v>0</v>
      </c>
      <c r="I193">
        <f>dummy_variables!G193</f>
        <v>0</v>
      </c>
      <c r="J193">
        <f>dummy_variables!H193</f>
        <v>0</v>
      </c>
      <c r="K193">
        <f>dummy_variables!I193</f>
        <v>0</v>
      </c>
      <c r="L193">
        <f>dummy_variables!J193</f>
        <v>1</v>
      </c>
      <c r="M193">
        <f>dummy_variables!K193</f>
        <v>0</v>
      </c>
    </row>
    <row r="194" spans="1:13">
      <c r="A194">
        <f>cleaned_data!M194</f>
        <v>643428.85</v>
      </c>
      <c r="B194">
        <f>cleaned_data!E194</f>
        <v>81796.740000000005</v>
      </c>
      <c r="C194">
        <f>cleaned_data!F194</f>
        <v>6177</v>
      </c>
      <c r="D194">
        <f>cleaned_data!G194</f>
        <v>0.16400000000000001</v>
      </c>
      <c r="E194">
        <f>cleaned_data!I194</f>
        <v>87.9</v>
      </c>
      <c r="F194">
        <f>cleaned_data!L194</f>
        <v>3.2</v>
      </c>
      <c r="G194">
        <f>cleaned_data!K194</f>
        <v>0</v>
      </c>
      <c r="H194">
        <f>dummy_variables!F194</f>
        <v>0</v>
      </c>
      <c r="I194">
        <f>dummy_variables!G194</f>
        <v>0</v>
      </c>
      <c r="J194">
        <f>dummy_variables!H194</f>
        <v>1</v>
      </c>
      <c r="K194">
        <f>dummy_variables!I194</f>
        <v>0</v>
      </c>
      <c r="L194">
        <f>dummy_variables!J194</f>
        <v>0</v>
      </c>
      <c r="M194">
        <f>dummy_variables!K194</f>
        <v>0</v>
      </c>
    </row>
    <row r="195" spans="1:13">
      <c r="A195">
        <f>cleaned_data!M195</f>
        <v>611924.27</v>
      </c>
      <c r="B195">
        <f>cleaned_data!E195</f>
        <v>51133.43</v>
      </c>
      <c r="C195">
        <f>cleaned_data!F195</f>
        <v>5150</v>
      </c>
      <c r="D195">
        <f>cleaned_data!G195</f>
        <v>0.15</v>
      </c>
      <c r="E195">
        <f>cleaned_data!I195</f>
        <v>88.5</v>
      </c>
      <c r="F195">
        <f>cleaned_data!L195</f>
        <v>3.2</v>
      </c>
      <c r="G195">
        <f>cleaned_data!K195</f>
        <v>0</v>
      </c>
      <c r="H195">
        <f>dummy_variables!F195</f>
        <v>0</v>
      </c>
      <c r="I195">
        <f>dummy_variables!G195</f>
        <v>0</v>
      </c>
      <c r="J195">
        <f>dummy_variables!H195</f>
        <v>1</v>
      </c>
      <c r="K195">
        <f>dummy_variables!I195</f>
        <v>0</v>
      </c>
      <c r="L195">
        <f>dummy_variables!J195</f>
        <v>0</v>
      </c>
      <c r="M195">
        <f>dummy_variables!K195</f>
        <v>0</v>
      </c>
    </row>
    <row r="196" spans="1:13">
      <c r="A196">
        <f>cleaned_data!M196</f>
        <v>559422.02</v>
      </c>
      <c r="B196">
        <f>cleaned_data!E196</f>
        <v>40220.18</v>
      </c>
      <c r="C196">
        <f>cleaned_data!F196</f>
        <v>3783</v>
      </c>
      <c r="D196">
        <f>cleaned_data!G196</f>
        <v>8.8999999999999996E-2</v>
      </c>
      <c r="E196">
        <f>cleaned_data!I196</f>
        <v>86.6</v>
      </c>
      <c r="F196">
        <f>cleaned_data!L196</f>
        <v>3.7</v>
      </c>
      <c r="G196">
        <f>cleaned_data!K196</f>
        <v>0</v>
      </c>
      <c r="H196">
        <f>dummy_variables!F196</f>
        <v>0</v>
      </c>
      <c r="I196">
        <f>dummy_variables!G196</f>
        <v>0</v>
      </c>
      <c r="J196">
        <f>dummy_variables!H196</f>
        <v>1</v>
      </c>
      <c r="K196">
        <f>dummy_variables!I196</f>
        <v>0</v>
      </c>
      <c r="L196">
        <f>dummy_variables!J196</f>
        <v>0</v>
      </c>
      <c r="M196">
        <f>dummy_variables!K196</f>
        <v>0</v>
      </c>
    </row>
    <row r="197" spans="1:13">
      <c r="A197">
        <f>cleaned_data!M197</f>
        <v>449465.06</v>
      </c>
      <c r="B197">
        <f>cleaned_data!E197</f>
        <v>41657.64</v>
      </c>
      <c r="C197">
        <f>cleaned_data!F197</f>
        <v>3135</v>
      </c>
      <c r="D197">
        <f>cleaned_data!G197</f>
        <v>0.22900000000000001</v>
      </c>
      <c r="E197">
        <f>cleaned_data!I197</f>
        <v>85.4</v>
      </c>
      <c r="F197">
        <f>cleaned_data!L197</f>
        <v>4</v>
      </c>
      <c r="G197">
        <f>cleaned_data!K197</f>
        <v>0</v>
      </c>
      <c r="H197">
        <f>dummy_variables!F197</f>
        <v>0</v>
      </c>
      <c r="I197">
        <f>dummy_variables!G197</f>
        <v>0</v>
      </c>
      <c r="J197">
        <f>dummy_variables!H197</f>
        <v>1</v>
      </c>
      <c r="K197">
        <f>dummy_variables!I197</f>
        <v>0</v>
      </c>
      <c r="L197">
        <f>dummy_variables!J197</f>
        <v>0</v>
      </c>
      <c r="M197">
        <f>dummy_variables!K197</f>
        <v>0</v>
      </c>
    </row>
    <row r="198" spans="1:13">
      <c r="A198">
        <f>cleaned_data!M198</f>
        <v>691447.43</v>
      </c>
      <c r="B198">
        <f>cleaned_data!E198</f>
        <v>71851.45</v>
      </c>
      <c r="C198">
        <f>cleaned_data!F198</f>
        <v>4970</v>
      </c>
      <c r="D198">
        <f>cleaned_data!G198</f>
        <v>9.8000000000000004E-2</v>
      </c>
      <c r="E198">
        <f>cleaned_data!I198</f>
        <v>89.6</v>
      </c>
      <c r="F198">
        <f>cleaned_data!L198</f>
        <v>4.2</v>
      </c>
      <c r="G198">
        <f>cleaned_data!K198</f>
        <v>0</v>
      </c>
      <c r="H198">
        <f>dummy_variables!F198</f>
        <v>1</v>
      </c>
      <c r="I198">
        <f>dummy_variables!G198</f>
        <v>0</v>
      </c>
      <c r="J198">
        <f>dummy_variables!H198</f>
        <v>0</v>
      </c>
      <c r="K198">
        <f>dummy_variables!I198</f>
        <v>0</v>
      </c>
      <c r="L198">
        <f>dummy_variables!J198</f>
        <v>0</v>
      </c>
      <c r="M198">
        <f>dummy_variables!K198</f>
        <v>0</v>
      </c>
    </row>
    <row r="199" spans="1:13">
      <c r="A199">
        <f>cleaned_data!M199</f>
        <v>574066.61</v>
      </c>
      <c r="B199">
        <f>cleaned_data!E199</f>
        <v>54002.83</v>
      </c>
      <c r="C199">
        <f>cleaned_data!F199</f>
        <v>4366</v>
      </c>
      <c r="D199">
        <f>cleaned_data!G199</f>
        <v>2.7E-2</v>
      </c>
      <c r="E199">
        <f>cleaned_data!I199</f>
        <v>90.6</v>
      </c>
      <c r="F199">
        <f>cleaned_data!L199</f>
        <v>4.5999999999999996</v>
      </c>
      <c r="G199">
        <f>cleaned_data!K199</f>
        <v>0</v>
      </c>
      <c r="H199">
        <f>dummy_variables!F199</f>
        <v>1</v>
      </c>
      <c r="I199">
        <f>dummy_variables!G199</f>
        <v>0</v>
      </c>
      <c r="J199">
        <f>dummy_variables!H199</f>
        <v>0</v>
      </c>
      <c r="K199">
        <f>dummy_variables!I199</f>
        <v>0</v>
      </c>
      <c r="L199">
        <f>dummy_variables!J199</f>
        <v>0</v>
      </c>
      <c r="M199">
        <f>dummy_variables!K199</f>
        <v>0</v>
      </c>
    </row>
    <row r="200" spans="1:13">
      <c r="A200">
        <f>cleaned_data!M200</f>
        <v>578949.84</v>
      </c>
      <c r="B200">
        <f>cleaned_data!E200</f>
        <v>54479.33</v>
      </c>
      <c r="C200">
        <f>cleaned_data!F200</f>
        <v>5012</v>
      </c>
      <c r="D200">
        <f>cleaned_data!G200</f>
        <v>0.28399999999999997</v>
      </c>
      <c r="E200">
        <f>cleaned_data!I200</f>
        <v>86</v>
      </c>
      <c r="F200">
        <f>cleaned_data!L200</f>
        <v>4.3</v>
      </c>
      <c r="G200">
        <f>cleaned_data!K200</f>
        <v>1</v>
      </c>
      <c r="H200">
        <f>dummy_variables!F200</f>
        <v>1</v>
      </c>
      <c r="I200">
        <f>dummy_variables!G200</f>
        <v>0</v>
      </c>
      <c r="J200">
        <f>dummy_variables!H200</f>
        <v>0</v>
      </c>
      <c r="K200">
        <f>dummy_variables!I200</f>
        <v>0</v>
      </c>
      <c r="L200">
        <f>dummy_variables!J200</f>
        <v>0</v>
      </c>
      <c r="M200">
        <f>dummy_variables!K200</f>
        <v>0</v>
      </c>
    </row>
    <row r="201" spans="1:13">
      <c r="A201">
        <f>cleaned_data!M201</f>
        <v>735786.64</v>
      </c>
      <c r="B201">
        <f>cleaned_data!E201</f>
        <v>61391.8</v>
      </c>
      <c r="C201">
        <f>cleaned_data!F201</f>
        <v>5575</v>
      </c>
      <c r="D201">
        <f>cleaned_data!G201</f>
        <v>0.189</v>
      </c>
      <c r="E201">
        <f>cleaned_data!I201</f>
        <v>90</v>
      </c>
      <c r="F201">
        <f>cleaned_data!L201</f>
        <v>4.8</v>
      </c>
      <c r="G201">
        <f>cleaned_data!K201</f>
        <v>0</v>
      </c>
      <c r="H201">
        <f>dummy_variables!F201</f>
        <v>1</v>
      </c>
      <c r="I201">
        <f>dummy_variables!G201</f>
        <v>0</v>
      </c>
      <c r="J201">
        <f>dummy_variables!H201</f>
        <v>0</v>
      </c>
      <c r="K201">
        <f>dummy_variables!I201</f>
        <v>0</v>
      </c>
      <c r="L201">
        <f>dummy_variables!J201</f>
        <v>0</v>
      </c>
      <c r="M201">
        <f>dummy_variables!K201</f>
        <v>0</v>
      </c>
    </row>
    <row r="202" spans="1:13">
      <c r="A202">
        <f>cleaned_data!M202</f>
        <v>598904.9</v>
      </c>
      <c r="B202">
        <f>cleaned_data!E202</f>
        <v>22312.93</v>
      </c>
      <c r="C202">
        <f>cleaned_data!F202</f>
        <v>5955</v>
      </c>
      <c r="D202">
        <f>cleaned_data!G202</f>
        <v>0.123</v>
      </c>
      <c r="E202">
        <f>cleaned_data!I202</f>
        <v>84.2</v>
      </c>
      <c r="F202">
        <f>cleaned_data!L202</f>
        <v>4.5999999999999996</v>
      </c>
      <c r="G202">
        <f>cleaned_data!K202</f>
        <v>1</v>
      </c>
      <c r="H202">
        <f>dummy_variables!F202</f>
        <v>0</v>
      </c>
      <c r="I202">
        <f>dummy_variables!G202</f>
        <v>0</v>
      </c>
      <c r="J202">
        <f>dummy_variables!H202</f>
        <v>0</v>
      </c>
      <c r="K202">
        <f>dummy_variables!I202</f>
        <v>1</v>
      </c>
      <c r="L202">
        <f>dummy_variables!J202</f>
        <v>0</v>
      </c>
      <c r="M202">
        <f>dummy_variables!K202</f>
        <v>0</v>
      </c>
    </row>
    <row r="203" spans="1:13">
      <c r="A203">
        <f>cleaned_data!M203</f>
        <v>787715.51</v>
      </c>
      <c r="B203">
        <f>cleaned_data!E203</f>
        <v>78111.97</v>
      </c>
      <c r="C203">
        <f>cleaned_data!F203</f>
        <v>6389</v>
      </c>
      <c r="D203">
        <f>cleaned_data!G203</f>
        <v>0.15</v>
      </c>
      <c r="E203">
        <f>cleaned_data!I203</f>
        <v>83.9</v>
      </c>
      <c r="F203">
        <f>cleaned_data!L203</f>
        <v>4.8</v>
      </c>
      <c r="G203">
        <f>cleaned_data!K203</f>
        <v>0</v>
      </c>
      <c r="H203">
        <f>dummy_variables!F203</f>
        <v>0</v>
      </c>
      <c r="I203">
        <f>dummy_variables!G203</f>
        <v>0</v>
      </c>
      <c r="J203">
        <f>dummy_variables!H203</f>
        <v>0</v>
      </c>
      <c r="K203">
        <f>dummy_variables!I203</f>
        <v>1</v>
      </c>
      <c r="L203">
        <f>dummy_variables!J203</f>
        <v>0</v>
      </c>
      <c r="M203">
        <f>dummy_variables!K203</f>
        <v>0</v>
      </c>
    </row>
    <row r="204" spans="1:13">
      <c r="A204">
        <f>cleaned_data!M204</f>
        <v>607084.92000000004</v>
      </c>
      <c r="B204">
        <f>cleaned_data!E204</f>
        <v>35203.230000000003</v>
      </c>
      <c r="C204">
        <f>cleaned_data!F204</f>
        <v>6896</v>
      </c>
      <c r="D204">
        <f>cleaned_data!G204</f>
        <v>3.2000000000000001E-2</v>
      </c>
      <c r="E204">
        <f>cleaned_data!I204</f>
        <v>80.8</v>
      </c>
      <c r="F204">
        <f>cleaned_data!L204</f>
        <v>5</v>
      </c>
      <c r="G204">
        <f>cleaned_data!K204</f>
        <v>1</v>
      </c>
      <c r="H204">
        <f>dummy_variables!F204</f>
        <v>0</v>
      </c>
      <c r="I204">
        <f>dummy_variables!G204</f>
        <v>0</v>
      </c>
      <c r="J204">
        <f>dummy_variables!H204</f>
        <v>0</v>
      </c>
      <c r="K204">
        <f>dummy_variables!I204</f>
        <v>1</v>
      </c>
      <c r="L204">
        <f>dummy_variables!J204</f>
        <v>0</v>
      </c>
      <c r="M204">
        <f>dummy_variables!K204</f>
        <v>0</v>
      </c>
    </row>
    <row r="205" spans="1:13">
      <c r="A205">
        <f>cleaned_data!M205</f>
        <v>650795.49</v>
      </c>
      <c r="B205">
        <f>cleaned_data!E205</f>
        <v>64104.28</v>
      </c>
      <c r="C205">
        <f>cleaned_data!F205</f>
        <v>6015</v>
      </c>
      <c r="D205">
        <f>cleaned_data!G205</f>
        <v>0.127</v>
      </c>
      <c r="E205">
        <f>cleaned_data!I205</f>
        <v>88.7</v>
      </c>
      <c r="F205">
        <f>cleaned_data!L205</f>
        <v>4</v>
      </c>
      <c r="G205">
        <f>cleaned_data!K205</f>
        <v>0</v>
      </c>
      <c r="H205">
        <f>dummy_variables!F205</f>
        <v>0</v>
      </c>
      <c r="I205">
        <f>dummy_variables!G205</f>
        <v>0</v>
      </c>
      <c r="J205">
        <f>dummy_variables!H205</f>
        <v>0</v>
      </c>
      <c r="K205">
        <f>dummy_variables!I205</f>
        <v>1</v>
      </c>
      <c r="L205">
        <f>dummy_variables!J205</f>
        <v>0</v>
      </c>
      <c r="M205">
        <f>dummy_variables!K205</f>
        <v>0</v>
      </c>
    </row>
    <row r="206" spans="1:13">
      <c r="A206">
        <f>cleaned_data!M206</f>
        <v>825060.52</v>
      </c>
      <c r="B206">
        <f>cleaned_data!E206</f>
        <v>92090.14</v>
      </c>
      <c r="C206">
        <f>cleaned_data!F206</f>
        <v>9476</v>
      </c>
      <c r="D206">
        <f>cleaned_data!G206</f>
        <v>7.0000000000000007E-2</v>
      </c>
      <c r="E206">
        <f>cleaned_data!I206</f>
        <v>94.3</v>
      </c>
      <c r="F206">
        <f>cleaned_data!L206</f>
        <v>3.7</v>
      </c>
      <c r="G206">
        <f>cleaned_data!K206</f>
        <v>0</v>
      </c>
      <c r="H206">
        <f>dummy_variables!F206</f>
        <v>0</v>
      </c>
      <c r="I206">
        <f>dummy_variables!G206</f>
        <v>0</v>
      </c>
      <c r="J206">
        <f>dummy_variables!H206</f>
        <v>0</v>
      </c>
      <c r="K206">
        <f>dummy_variables!I206</f>
        <v>0</v>
      </c>
      <c r="L206">
        <f>dummy_variables!J206</f>
        <v>0</v>
      </c>
      <c r="M206">
        <f>dummy_variables!K206</f>
        <v>1</v>
      </c>
    </row>
    <row r="207" spans="1:13">
      <c r="A207">
        <f>cleaned_data!M207</f>
        <v>795464.47</v>
      </c>
      <c r="B207">
        <f>cleaned_data!E207</f>
        <v>54300.87</v>
      </c>
      <c r="C207">
        <f>cleaned_data!F207</f>
        <v>7875</v>
      </c>
      <c r="D207">
        <f>cleaned_data!G207</f>
        <v>0.107</v>
      </c>
      <c r="E207">
        <f>cleaned_data!I207</f>
        <v>94.1</v>
      </c>
      <c r="F207">
        <f>cleaned_data!L207</f>
        <v>3.7</v>
      </c>
      <c r="G207">
        <f>cleaned_data!K207</f>
        <v>0</v>
      </c>
      <c r="H207">
        <f>dummy_variables!F207</f>
        <v>0</v>
      </c>
      <c r="I207">
        <f>dummy_variables!G207</f>
        <v>0</v>
      </c>
      <c r="J207">
        <f>dummy_variables!H207</f>
        <v>0</v>
      </c>
      <c r="K207">
        <f>dummy_variables!I207</f>
        <v>0</v>
      </c>
      <c r="L207">
        <f>dummy_variables!J207</f>
        <v>0</v>
      </c>
      <c r="M207">
        <f>dummy_variables!K207</f>
        <v>1</v>
      </c>
    </row>
    <row r="208" spans="1:13">
      <c r="A208">
        <f>cleaned_data!M208</f>
        <v>671868.59</v>
      </c>
      <c r="B208">
        <f>cleaned_data!E208</f>
        <v>37983.35</v>
      </c>
      <c r="C208">
        <f>cleaned_data!F208</f>
        <v>9283</v>
      </c>
      <c r="D208">
        <f>cleaned_data!G208</f>
        <v>0.14899999999999999</v>
      </c>
      <c r="E208">
        <f>cleaned_data!I208</f>
        <v>83.2</v>
      </c>
      <c r="F208">
        <f>cleaned_data!L208</f>
        <v>3.7</v>
      </c>
      <c r="G208">
        <f>cleaned_data!K208</f>
        <v>0</v>
      </c>
      <c r="H208">
        <f>dummy_variables!F208</f>
        <v>0</v>
      </c>
      <c r="I208">
        <f>dummy_variables!G208</f>
        <v>0</v>
      </c>
      <c r="J208">
        <f>dummy_variables!H208</f>
        <v>0</v>
      </c>
      <c r="K208">
        <f>dummy_variables!I208</f>
        <v>0</v>
      </c>
      <c r="L208">
        <f>dummy_variables!J208</f>
        <v>0</v>
      </c>
      <c r="M208">
        <f>dummy_variables!K208</f>
        <v>1</v>
      </c>
    </row>
    <row r="209" spans="1:13">
      <c r="A209">
        <f>cleaned_data!M209</f>
        <v>675917.63</v>
      </c>
      <c r="B209">
        <f>cleaned_data!E209</f>
        <v>56413.83</v>
      </c>
      <c r="C209">
        <f>cleaned_data!F209</f>
        <v>8303</v>
      </c>
      <c r="D209">
        <f>cleaned_data!G209</f>
        <v>0.11600000000000001</v>
      </c>
      <c r="E209">
        <f>cleaned_data!I209</f>
        <v>93.6</v>
      </c>
      <c r="F209">
        <f>cleaned_data!L209</f>
        <v>3.7</v>
      </c>
      <c r="G209">
        <f>cleaned_data!K209</f>
        <v>0</v>
      </c>
      <c r="H209">
        <f>dummy_variables!F209</f>
        <v>0</v>
      </c>
      <c r="I209">
        <f>dummy_variables!G209</f>
        <v>0</v>
      </c>
      <c r="J209">
        <f>dummy_variables!H209</f>
        <v>0</v>
      </c>
      <c r="K209">
        <f>dummy_variables!I209</f>
        <v>0</v>
      </c>
      <c r="L209">
        <f>dummy_variables!J209</f>
        <v>0</v>
      </c>
      <c r="M209">
        <f>dummy_variables!K209</f>
        <v>1</v>
      </c>
    </row>
    <row r="210" spans="1:13">
      <c r="A210">
        <f>cleaned_data!M210</f>
        <v>810446.53</v>
      </c>
      <c r="B210">
        <f>cleaned_data!E210</f>
        <v>63457.19</v>
      </c>
      <c r="C210">
        <f>cleaned_data!F210</f>
        <v>10125</v>
      </c>
      <c r="D210">
        <f>cleaned_data!G210</f>
        <v>9.7000000000000003E-2</v>
      </c>
      <c r="E210">
        <f>cleaned_data!I210</f>
        <v>87</v>
      </c>
      <c r="F210">
        <f>cleaned_data!L210</f>
        <v>3.7</v>
      </c>
      <c r="G210">
        <f>cleaned_data!K210</f>
        <v>1</v>
      </c>
      <c r="H210">
        <f>dummy_variables!F210</f>
        <v>0</v>
      </c>
      <c r="I210">
        <f>dummy_variables!G210</f>
        <v>0</v>
      </c>
      <c r="J210">
        <f>dummy_variables!H210</f>
        <v>0</v>
      </c>
      <c r="K210">
        <f>dummy_variables!I210</f>
        <v>0</v>
      </c>
      <c r="L210">
        <f>dummy_variables!J210</f>
        <v>1</v>
      </c>
      <c r="M210">
        <f>dummy_variables!K210</f>
        <v>0</v>
      </c>
    </row>
    <row r="211" spans="1:13">
      <c r="A211">
        <f>cleaned_data!M211</f>
        <v>691288.19</v>
      </c>
      <c r="B211">
        <f>cleaned_data!E211</f>
        <v>62949.7</v>
      </c>
      <c r="C211">
        <f>cleaned_data!F211</f>
        <v>9458</v>
      </c>
      <c r="D211">
        <f>cleaned_data!G211</f>
        <v>0.17100000000000001</v>
      </c>
      <c r="E211">
        <f>cleaned_data!I211</f>
        <v>84.9</v>
      </c>
      <c r="F211">
        <f>cleaned_data!L211</f>
        <v>3.3</v>
      </c>
      <c r="G211">
        <f>cleaned_data!K211</f>
        <v>0</v>
      </c>
      <c r="H211">
        <f>dummy_variables!F211</f>
        <v>0</v>
      </c>
      <c r="I211">
        <f>dummy_variables!G211</f>
        <v>0</v>
      </c>
      <c r="J211">
        <f>dummy_variables!H211</f>
        <v>0</v>
      </c>
      <c r="K211">
        <f>dummy_variables!I211</f>
        <v>0</v>
      </c>
      <c r="L211">
        <f>dummy_variables!J211</f>
        <v>1</v>
      </c>
      <c r="M211">
        <f>dummy_variables!K211</f>
        <v>0</v>
      </c>
    </row>
    <row r="212" spans="1:13">
      <c r="A212">
        <f>cleaned_data!M212</f>
        <v>946833.54</v>
      </c>
      <c r="B212">
        <f>cleaned_data!E212</f>
        <v>107970.19</v>
      </c>
      <c r="C212">
        <f>cleaned_data!F212</f>
        <v>12870</v>
      </c>
      <c r="D212">
        <f>cleaned_data!G212</f>
        <v>2.9000000000000001E-2</v>
      </c>
      <c r="E212">
        <f>cleaned_data!I212</f>
        <v>91.7</v>
      </c>
      <c r="F212">
        <f>cleaned_data!L212</f>
        <v>3.7</v>
      </c>
      <c r="G212">
        <f>cleaned_data!K212</f>
        <v>1</v>
      </c>
      <c r="H212">
        <f>dummy_variables!F212</f>
        <v>0</v>
      </c>
      <c r="I212">
        <f>dummy_variables!G212</f>
        <v>0</v>
      </c>
      <c r="J212">
        <f>dummy_variables!H212</f>
        <v>0</v>
      </c>
      <c r="K212">
        <f>dummy_variables!I212</f>
        <v>0</v>
      </c>
      <c r="L212">
        <f>dummy_variables!J212</f>
        <v>1</v>
      </c>
      <c r="M212">
        <f>dummy_variables!K212</f>
        <v>0</v>
      </c>
    </row>
    <row r="213" spans="1:13">
      <c r="A213">
        <f>cleaned_data!M213</f>
        <v>761963.23</v>
      </c>
      <c r="B213">
        <f>cleaned_data!E213</f>
        <v>49405.75</v>
      </c>
      <c r="C213">
        <f>cleaned_data!F213</f>
        <v>9752</v>
      </c>
      <c r="D213">
        <f>cleaned_data!G213</f>
        <v>9.2999999999999999E-2</v>
      </c>
      <c r="E213">
        <f>cleaned_data!I213</f>
        <v>87</v>
      </c>
      <c r="F213">
        <f>cleaned_data!L213</f>
        <v>4.0999999999999996</v>
      </c>
      <c r="G213">
        <f>cleaned_data!K213</f>
        <v>0</v>
      </c>
      <c r="H213">
        <f>dummy_variables!F213</f>
        <v>0</v>
      </c>
      <c r="I213">
        <f>dummy_variables!G213</f>
        <v>0</v>
      </c>
      <c r="J213">
        <f>dummy_variables!H213</f>
        <v>0</v>
      </c>
      <c r="K213">
        <f>dummy_variables!I213</f>
        <v>0</v>
      </c>
      <c r="L213">
        <f>dummy_variables!J213</f>
        <v>1</v>
      </c>
      <c r="M213">
        <f>dummy_variables!K213</f>
        <v>0</v>
      </c>
    </row>
    <row r="214" spans="1:13">
      <c r="A214">
        <f>cleaned_data!M214</f>
        <v>812152.6</v>
      </c>
      <c r="B214">
        <f>cleaned_data!E214</f>
        <v>50887.46</v>
      </c>
      <c r="C214">
        <f>cleaned_data!F214</f>
        <v>9505</v>
      </c>
      <c r="D214">
        <f>cleaned_data!G214</f>
        <v>9.0999999999999998E-2</v>
      </c>
      <c r="E214">
        <f>cleaned_data!I214</f>
        <v>89.7</v>
      </c>
      <c r="F214">
        <f>cleaned_data!L214</f>
        <v>4.3</v>
      </c>
      <c r="G214">
        <f>cleaned_data!K214</f>
        <v>0</v>
      </c>
      <c r="H214">
        <f>dummy_variables!F214</f>
        <v>0</v>
      </c>
      <c r="I214">
        <f>dummy_variables!G214</f>
        <v>0</v>
      </c>
      <c r="J214">
        <f>dummy_variables!H214</f>
        <v>1</v>
      </c>
      <c r="K214">
        <f>dummy_variables!I214</f>
        <v>0</v>
      </c>
      <c r="L214">
        <f>dummy_variables!J214</f>
        <v>0</v>
      </c>
      <c r="M214">
        <f>dummy_variables!K214</f>
        <v>0</v>
      </c>
    </row>
    <row r="215" spans="1:13">
      <c r="A215">
        <f>cleaned_data!M215</f>
        <v>804975.5</v>
      </c>
      <c r="B215">
        <f>cleaned_data!E215</f>
        <v>41819.449999999997</v>
      </c>
      <c r="C215">
        <f>cleaned_data!F215</f>
        <v>9412</v>
      </c>
      <c r="D215">
        <f>cleaned_data!G215</f>
        <v>0.15</v>
      </c>
      <c r="E215">
        <f>cleaned_data!I215</f>
        <v>91</v>
      </c>
      <c r="F215">
        <f>cleaned_data!L215</f>
        <v>4.2</v>
      </c>
      <c r="G215">
        <f>cleaned_data!K215</f>
        <v>0</v>
      </c>
      <c r="H215">
        <f>dummy_variables!F215</f>
        <v>0</v>
      </c>
      <c r="I215">
        <f>dummy_variables!G215</f>
        <v>0</v>
      </c>
      <c r="J215">
        <f>dummy_variables!H215</f>
        <v>1</v>
      </c>
      <c r="K215">
        <f>dummy_variables!I215</f>
        <v>0</v>
      </c>
      <c r="L215">
        <f>dummy_variables!J215</f>
        <v>0</v>
      </c>
      <c r="M215">
        <f>dummy_variables!K215</f>
        <v>0</v>
      </c>
    </row>
    <row r="216" spans="1:13">
      <c r="A216">
        <f>cleaned_data!M216</f>
        <v>752321.72</v>
      </c>
      <c r="B216">
        <f>cleaned_data!E216</f>
        <v>35296.54</v>
      </c>
      <c r="C216">
        <f>cleaned_data!F216</f>
        <v>9644</v>
      </c>
      <c r="D216">
        <f>cleaned_data!G216</f>
        <v>0</v>
      </c>
      <c r="E216">
        <f>cleaned_data!I216</f>
        <v>88</v>
      </c>
      <c r="F216">
        <f>cleaned_data!L216</f>
        <v>4.7</v>
      </c>
      <c r="G216">
        <f>cleaned_data!K216</f>
        <v>0</v>
      </c>
      <c r="H216">
        <f>dummy_variables!F216</f>
        <v>0</v>
      </c>
      <c r="I216">
        <f>dummy_variables!G216</f>
        <v>0</v>
      </c>
      <c r="J216">
        <f>dummy_variables!H216</f>
        <v>1</v>
      </c>
      <c r="K216">
        <f>dummy_variables!I216</f>
        <v>0</v>
      </c>
      <c r="L216">
        <f>dummy_variables!J216</f>
        <v>0</v>
      </c>
      <c r="M216">
        <f>dummy_variables!K216</f>
        <v>0</v>
      </c>
    </row>
    <row r="217" spans="1:13">
      <c r="A217">
        <f>cleaned_data!M217</f>
        <v>836908.24</v>
      </c>
      <c r="B217">
        <f>cleaned_data!E217</f>
        <v>47391.09</v>
      </c>
      <c r="C217">
        <f>cleaned_data!F217</f>
        <v>11224</v>
      </c>
      <c r="D217">
        <f>cleaned_data!G217</f>
        <v>0.14699999999999999</v>
      </c>
      <c r="E217">
        <f>cleaned_data!I217</f>
        <v>88.4</v>
      </c>
      <c r="F217">
        <f>cleaned_data!L217</f>
        <v>4.9000000000000004</v>
      </c>
      <c r="G217">
        <f>cleaned_data!K217</f>
        <v>0</v>
      </c>
      <c r="H217">
        <f>dummy_variables!F217</f>
        <v>0</v>
      </c>
      <c r="I217">
        <f>dummy_variables!G217</f>
        <v>0</v>
      </c>
      <c r="J217">
        <f>dummy_variables!H217</f>
        <v>1</v>
      </c>
      <c r="K217">
        <f>dummy_variables!I217</f>
        <v>0</v>
      </c>
      <c r="L217">
        <f>dummy_variables!J217</f>
        <v>0</v>
      </c>
      <c r="M217">
        <f>dummy_variables!K217</f>
        <v>0</v>
      </c>
    </row>
    <row r="218" spans="1:13">
      <c r="A218">
        <f>cleaned_data!M218</f>
        <v>674289.1</v>
      </c>
      <c r="B218">
        <f>cleaned_data!E218</f>
        <v>69180.539999999994</v>
      </c>
      <c r="C218">
        <f>cleaned_data!F218</f>
        <v>5394</v>
      </c>
      <c r="D218">
        <f>cleaned_data!G218</f>
        <v>0.126</v>
      </c>
      <c r="E218">
        <f>cleaned_data!I218</f>
        <v>82.9</v>
      </c>
      <c r="F218">
        <f>cleaned_data!L218</f>
        <v>3.3</v>
      </c>
      <c r="G218">
        <f>cleaned_data!K218</f>
        <v>0</v>
      </c>
      <c r="H218">
        <f>dummy_variables!F218</f>
        <v>1</v>
      </c>
      <c r="I218">
        <f>dummy_variables!G218</f>
        <v>0</v>
      </c>
      <c r="J218">
        <f>dummy_variables!H218</f>
        <v>0</v>
      </c>
      <c r="K218">
        <f>dummy_variables!I218</f>
        <v>1</v>
      </c>
      <c r="L218">
        <f>dummy_variables!J218</f>
        <v>0</v>
      </c>
      <c r="M218">
        <f>dummy_variables!K218</f>
        <v>0</v>
      </c>
    </row>
    <row r="219" spans="1:13">
      <c r="A219">
        <f>cleaned_data!M219</f>
        <v>622892.42000000004</v>
      </c>
      <c r="B219">
        <f>cleaned_data!E219</f>
        <v>33987.33</v>
      </c>
      <c r="C219">
        <f>cleaned_data!F219</f>
        <v>5014</v>
      </c>
      <c r="D219">
        <f>cleaned_data!G219</f>
        <v>0.246</v>
      </c>
      <c r="E219">
        <f>cleaned_data!I219</f>
        <v>94.3</v>
      </c>
      <c r="F219">
        <f>cleaned_data!L219</f>
        <v>3.9</v>
      </c>
      <c r="G219">
        <f>cleaned_data!K219</f>
        <v>0</v>
      </c>
      <c r="H219">
        <f>dummy_variables!F219</f>
        <v>1</v>
      </c>
      <c r="I219">
        <f>dummy_variables!G219</f>
        <v>0</v>
      </c>
      <c r="J219">
        <f>dummy_variables!H219</f>
        <v>0</v>
      </c>
      <c r="K219">
        <f>dummy_variables!I219</f>
        <v>1</v>
      </c>
      <c r="L219">
        <f>dummy_variables!J219</f>
        <v>0</v>
      </c>
      <c r="M219">
        <f>dummy_variables!K219</f>
        <v>0</v>
      </c>
    </row>
    <row r="220" spans="1:13">
      <c r="A220">
        <f>cleaned_data!M220</f>
        <v>673348.56</v>
      </c>
      <c r="B220">
        <f>cleaned_data!E220</f>
        <v>58785.33</v>
      </c>
      <c r="C220">
        <f>cleaned_data!F220</f>
        <v>4467</v>
      </c>
      <c r="D220">
        <f>cleaned_data!G220</f>
        <v>0.22900000000000001</v>
      </c>
      <c r="E220">
        <f>cleaned_data!I220</f>
        <v>90.7</v>
      </c>
      <c r="F220">
        <f>cleaned_data!L220</f>
        <v>3.7</v>
      </c>
      <c r="G220">
        <f>cleaned_data!K220</f>
        <v>0</v>
      </c>
      <c r="H220">
        <f>dummy_variables!F220</f>
        <v>1</v>
      </c>
      <c r="I220">
        <f>dummy_variables!G220</f>
        <v>0</v>
      </c>
      <c r="J220">
        <f>dummy_variables!H220</f>
        <v>0</v>
      </c>
      <c r="K220">
        <f>dummy_variables!I220</f>
        <v>1</v>
      </c>
      <c r="L220">
        <f>dummy_variables!J220</f>
        <v>0</v>
      </c>
      <c r="M220">
        <f>dummy_variables!K220</f>
        <v>0</v>
      </c>
    </row>
    <row r="221" spans="1:13">
      <c r="A221">
        <f>cleaned_data!M221</f>
        <v>606278.30000000005</v>
      </c>
      <c r="B221">
        <f>cleaned_data!E221</f>
        <v>16451.849999999999</v>
      </c>
      <c r="C221">
        <f>cleaned_data!F221</f>
        <v>4678</v>
      </c>
      <c r="D221">
        <f>cleaned_data!G221</f>
        <v>0.13300000000000001</v>
      </c>
      <c r="E221">
        <f>cleaned_data!I221</f>
        <v>95.9</v>
      </c>
      <c r="F221">
        <f>cleaned_data!L221</f>
        <v>3.9</v>
      </c>
      <c r="G221">
        <f>cleaned_data!K221</f>
        <v>0</v>
      </c>
      <c r="H221">
        <f>dummy_variables!F221</f>
        <v>1</v>
      </c>
      <c r="I221">
        <f>dummy_variables!G221</f>
        <v>0</v>
      </c>
      <c r="J221">
        <f>dummy_variables!H221</f>
        <v>0</v>
      </c>
      <c r="K221">
        <f>dummy_variables!I221</f>
        <v>1</v>
      </c>
      <c r="L221">
        <f>dummy_variables!J221</f>
        <v>0</v>
      </c>
      <c r="M221">
        <f>dummy_variables!K221</f>
        <v>0</v>
      </c>
    </row>
    <row r="222" spans="1:13">
      <c r="A222">
        <f>cleaned_data!M222</f>
        <v>712219.81</v>
      </c>
      <c r="B222">
        <f>cleaned_data!E222</f>
        <v>53367.73</v>
      </c>
      <c r="C222">
        <f>cleaned_data!F222</f>
        <v>7291</v>
      </c>
      <c r="D222">
        <f>cleaned_data!G222</f>
        <v>0.14599999999999999</v>
      </c>
      <c r="E222">
        <f>cleaned_data!I222</f>
        <v>90.6</v>
      </c>
      <c r="F222">
        <f>cleaned_data!L222</f>
        <v>3.8</v>
      </c>
      <c r="G222">
        <f>cleaned_data!K222</f>
        <v>1</v>
      </c>
      <c r="H222">
        <f>dummy_variables!F222</f>
        <v>0</v>
      </c>
      <c r="I222">
        <f>dummy_variables!G222</f>
        <v>0</v>
      </c>
      <c r="J222">
        <f>dummy_variables!H222</f>
        <v>0</v>
      </c>
      <c r="K222">
        <f>dummy_variables!I222</f>
        <v>0</v>
      </c>
      <c r="L222">
        <f>dummy_variables!J222</f>
        <v>1</v>
      </c>
      <c r="M222">
        <f>dummy_variables!K222</f>
        <v>0</v>
      </c>
    </row>
    <row r="223" spans="1:13">
      <c r="A223">
        <f>cleaned_data!M223</f>
        <v>672670.54</v>
      </c>
      <c r="B223">
        <f>cleaned_data!E223</f>
        <v>27194.639999999999</v>
      </c>
      <c r="C223">
        <f>cleaned_data!F223</f>
        <v>7404</v>
      </c>
      <c r="D223">
        <f>cleaned_data!G223</f>
        <v>8.7999999999999995E-2</v>
      </c>
      <c r="E223">
        <f>cleaned_data!I223</f>
        <v>90.2</v>
      </c>
      <c r="F223">
        <f>cleaned_data!L223</f>
        <v>3.4</v>
      </c>
      <c r="G223">
        <f>cleaned_data!K223</f>
        <v>0</v>
      </c>
      <c r="H223">
        <f>dummy_variables!F223</f>
        <v>0</v>
      </c>
      <c r="I223">
        <f>dummy_variables!G223</f>
        <v>0</v>
      </c>
      <c r="J223">
        <f>dummy_variables!H223</f>
        <v>0</v>
      </c>
      <c r="K223">
        <f>dummy_variables!I223</f>
        <v>0</v>
      </c>
      <c r="L223">
        <f>dummy_variables!J223</f>
        <v>1</v>
      </c>
      <c r="M223">
        <f>dummy_variables!K223</f>
        <v>0</v>
      </c>
    </row>
    <row r="224" spans="1:13">
      <c r="A224">
        <f>cleaned_data!M224</f>
        <v>732667.92</v>
      </c>
      <c r="B224">
        <f>cleaned_data!E224</f>
        <v>66962.740000000005</v>
      </c>
      <c r="C224">
        <f>cleaned_data!F224</f>
        <v>7880</v>
      </c>
      <c r="D224">
        <f>cleaned_data!G224</f>
        <v>0.11600000000000001</v>
      </c>
      <c r="E224">
        <f>cleaned_data!I224</f>
        <v>90.4</v>
      </c>
      <c r="F224">
        <f>cleaned_data!L224</f>
        <v>3.3</v>
      </c>
      <c r="G224">
        <f>cleaned_data!K224</f>
        <v>0</v>
      </c>
      <c r="H224">
        <f>dummy_variables!F224</f>
        <v>0</v>
      </c>
      <c r="I224">
        <f>dummy_variables!G224</f>
        <v>0</v>
      </c>
      <c r="J224">
        <f>dummy_variables!H224</f>
        <v>0</v>
      </c>
      <c r="K224">
        <f>dummy_variables!I224</f>
        <v>0</v>
      </c>
      <c r="L224">
        <f>dummy_variables!J224</f>
        <v>1</v>
      </c>
      <c r="M224">
        <f>dummy_variables!K224</f>
        <v>0</v>
      </c>
    </row>
    <row r="225" spans="1:13">
      <c r="A225">
        <f>cleaned_data!M225</f>
        <v>723531.4</v>
      </c>
      <c r="B225">
        <f>cleaned_data!E225</f>
        <v>73540.990000000005</v>
      </c>
      <c r="C225">
        <f>cleaned_data!F225</f>
        <v>8773</v>
      </c>
      <c r="D225">
        <f>cleaned_data!G225</f>
        <v>3.5000000000000003E-2</v>
      </c>
      <c r="E225">
        <f>cleaned_data!I225</f>
        <v>84.4</v>
      </c>
      <c r="F225">
        <f>cleaned_data!L225</f>
        <v>3.6</v>
      </c>
      <c r="G225">
        <f>cleaned_data!K225</f>
        <v>0</v>
      </c>
      <c r="H225">
        <f>dummy_variables!F225</f>
        <v>0</v>
      </c>
      <c r="I225">
        <f>dummy_variables!G225</f>
        <v>0</v>
      </c>
      <c r="J225">
        <f>dummy_variables!H225</f>
        <v>0</v>
      </c>
      <c r="K225">
        <f>dummy_variables!I225</f>
        <v>0</v>
      </c>
      <c r="L225">
        <f>dummy_variables!J225</f>
        <v>1</v>
      </c>
      <c r="M225">
        <f>dummy_variables!K225</f>
        <v>0</v>
      </c>
    </row>
    <row r="226" spans="1:13">
      <c r="A226">
        <f>cleaned_data!M226</f>
        <v>641564.6</v>
      </c>
      <c r="B226">
        <f>cleaned_data!E226</f>
        <v>68212.289999999994</v>
      </c>
      <c r="C226">
        <f>cleaned_data!F226</f>
        <v>4713</v>
      </c>
      <c r="D226">
        <f>cleaned_data!G226</f>
        <v>0.19800000000000001</v>
      </c>
      <c r="E226">
        <f>cleaned_data!I226</f>
        <v>82.6</v>
      </c>
      <c r="F226">
        <f>cleaned_data!L226</f>
        <v>3</v>
      </c>
      <c r="G226">
        <f>cleaned_data!K226</f>
        <v>1</v>
      </c>
      <c r="H226">
        <f>dummy_variables!F226</f>
        <v>0</v>
      </c>
      <c r="I226">
        <f>dummy_variables!G226</f>
        <v>0</v>
      </c>
      <c r="J226">
        <f>dummy_variables!H226</f>
        <v>0</v>
      </c>
      <c r="K226">
        <f>dummy_variables!I226</f>
        <v>0</v>
      </c>
      <c r="L226">
        <f>dummy_variables!J226</f>
        <v>0</v>
      </c>
      <c r="M226">
        <f>dummy_variables!K226</f>
        <v>1</v>
      </c>
    </row>
    <row r="227" spans="1:13">
      <c r="A227">
        <f>cleaned_data!M227</f>
        <v>536545.49</v>
      </c>
      <c r="B227">
        <f>cleaned_data!E227</f>
        <v>57225.98</v>
      </c>
      <c r="C227">
        <f>cleaned_data!F227</f>
        <v>2842</v>
      </c>
      <c r="D227">
        <f>cleaned_data!G227</f>
        <v>0.112</v>
      </c>
      <c r="E227">
        <f>cleaned_data!I227</f>
        <v>79.5</v>
      </c>
      <c r="F227">
        <f>cleaned_data!L227</f>
        <v>3.4</v>
      </c>
      <c r="G227">
        <f>cleaned_data!K227</f>
        <v>0</v>
      </c>
      <c r="H227">
        <f>dummy_variables!F227</f>
        <v>0</v>
      </c>
      <c r="I227">
        <f>dummy_variables!G227</f>
        <v>0</v>
      </c>
      <c r="J227">
        <f>dummy_variables!H227</f>
        <v>0</v>
      </c>
      <c r="K227">
        <f>dummy_variables!I227</f>
        <v>0</v>
      </c>
      <c r="L227">
        <f>dummy_variables!J227</f>
        <v>0</v>
      </c>
      <c r="M227">
        <f>dummy_variables!K227</f>
        <v>1</v>
      </c>
    </row>
    <row r="228" spans="1:13">
      <c r="A228">
        <f>cleaned_data!M228</f>
        <v>527681.56000000006</v>
      </c>
      <c r="B228">
        <f>cleaned_data!E228</f>
        <v>42932.02</v>
      </c>
      <c r="C228">
        <f>cleaned_data!F228</f>
        <v>3872</v>
      </c>
      <c r="D228">
        <f>cleaned_data!G228</f>
        <v>0.17100000000000001</v>
      </c>
      <c r="E228">
        <f>cleaned_data!I228</f>
        <v>83.2</v>
      </c>
      <c r="F228">
        <f>cleaned_data!L228</f>
        <v>3.3</v>
      </c>
      <c r="G228">
        <f>cleaned_data!K228</f>
        <v>0</v>
      </c>
      <c r="H228">
        <f>dummy_variables!F228</f>
        <v>0</v>
      </c>
      <c r="I228">
        <f>dummy_variables!G228</f>
        <v>0</v>
      </c>
      <c r="J228">
        <f>dummy_variables!H228</f>
        <v>0</v>
      </c>
      <c r="K228">
        <f>dummy_variables!I228</f>
        <v>0</v>
      </c>
      <c r="L228">
        <f>dummy_variables!J228</f>
        <v>0</v>
      </c>
      <c r="M228">
        <f>dummy_variables!K228</f>
        <v>1</v>
      </c>
    </row>
    <row r="229" spans="1:13">
      <c r="A229">
        <f>cleaned_data!M229</f>
        <v>529598.93999999994</v>
      </c>
      <c r="B229">
        <f>cleaned_data!E229</f>
        <v>39341.449999999997</v>
      </c>
      <c r="C229">
        <f>cleaned_data!F229</f>
        <v>1375</v>
      </c>
      <c r="D229">
        <f>cleaned_data!G229</f>
        <v>9.2999999999999999E-2</v>
      </c>
      <c r="E229">
        <f>cleaned_data!I229</f>
        <v>95</v>
      </c>
      <c r="F229">
        <f>cleaned_data!L229</f>
        <v>4</v>
      </c>
      <c r="G229">
        <f>cleaned_data!K229</f>
        <v>0</v>
      </c>
      <c r="H229">
        <f>dummy_variables!F229</f>
        <v>0</v>
      </c>
      <c r="I229">
        <f>dummy_variables!G229</f>
        <v>0</v>
      </c>
      <c r="J229">
        <f>dummy_variables!H229</f>
        <v>0</v>
      </c>
      <c r="K229">
        <f>dummy_variables!I229</f>
        <v>0</v>
      </c>
      <c r="L229">
        <f>dummy_variables!J229</f>
        <v>0</v>
      </c>
      <c r="M229">
        <f>dummy_variables!K229</f>
        <v>1</v>
      </c>
    </row>
    <row r="230" spans="1:13">
      <c r="A230">
        <f>cleaned_data!M230</f>
        <v>570963.31000000006</v>
      </c>
      <c r="B230">
        <f>cleaned_data!E230</f>
        <v>37324.230000000003</v>
      </c>
      <c r="C230">
        <f>cleaned_data!F230</f>
        <v>5957</v>
      </c>
      <c r="D230">
        <f>cleaned_data!G230</f>
        <v>7.0999999999999994E-2</v>
      </c>
      <c r="E230">
        <f>cleaned_data!I230</f>
        <v>85.9</v>
      </c>
      <c r="F230">
        <f>cleaned_data!L230</f>
        <v>3.8</v>
      </c>
      <c r="G230">
        <f>cleaned_data!K230</f>
        <v>0</v>
      </c>
      <c r="H230">
        <f>dummy_variables!F230</f>
        <v>0</v>
      </c>
      <c r="I230">
        <f>dummy_variables!G230</f>
        <v>0</v>
      </c>
      <c r="J230">
        <f>dummy_variables!H230</f>
        <v>0</v>
      </c>
      <c r="K230">
        <f>dummy_variables!I230</f>
        <v>0</v>
      </c>
      <c r="L230">
        <f>dummy_variables!J230</f>
        <v>1</v>
      </c>
      <c r="M230">
        <f>dummy_variables!K230</f>
        <v>0</v>
      </c>
    </row>
    <row r="231" spans="1:13">
      <c r="A231">
        <f>cleaned_data!M231</f>
        <v>870937.4</v>
      </c>
      <c r="B231">
        <f>cleaned_data!E231</f>
        <v>113736</v>
      </c>
      <c r="C231">
        <f>cleaned_data!F231</f>
        <v>8961</v>
      </c>
      <c r="D231">
        <f>cleaned_data!G231</f>
        <v>0.20200000000000001</v>
      </c>
      <c r="E231">
        <f>cleaned_data!I231</f>
        <v>86.2</v>
      </c>
      <c r="F231">
        <f>cleaned_data!L231</f>
        <v>4</v>
      </c>
      <c r="G231">
        <f>cleaned_data!K231</f>
        <v>0</v>
      </c>
      <c r="H231">
        <f>dummy_variables!F231</f>
        <v>0</v>
      </c>
      <c r="I231">
        <f>dummy_variables!G231</f>
        <v>0</v>
      </c>
      <c r="J231">
        <f>dummy_variables!H231</f>
        <v>0</v>
      </c>
      <c r="K231">
        <f>dummy_variables!I231</f>
        <v>0</v>
      </c>
      <c r="L231">
        <f>dummy_variables!J231</f>
        <v>1</v>
      </c>
      <c r="M231">
        <f>dummy_variables!K231</f>
        <v>0</v>
      </c>
    </row>
    <row r="232" spans="1:13">
      <c r="A232">
        <f>cleaned_data!M232</f>
        <v>596969.27</v>
      </c>
      <c r="B232">
        <f>cleaned_data!E232</f>
        <v>33173.949999999997</v>
      </c>
      <c r="C232">
        <f>cleaned_data!F232</f>
        <v>6545</v>
      </c>
      <c r="D232">
        <f>cleaned_data!G232</f>
        <v>0.16900000000000001</v>
      </c>
      <c r="E232">
        <f>cleaned_data!I232</f>
        <v>84.4</v>
      </c>
      <c r="F232">
        <f>cleaned_data!L232</f>
        <v>3.9</v>
      </c>
      <c r="G232">
        <f>cleaned_data!K232</f>
        <v>0</v>
      </c>
      <c r="H232">
        <f>dummy_variables!F232</f>
        <v>0</v>
      </c>
      <c r="I232">
        <f>dummy_variables!G232</f>
        <v>0</v>
      </c>
      <c r="J232">
        <f>dummy_variables!H232</f>
        <v>0</v>
      </c>
      <c r="K232">
        <f>dummy_variables!I232</f>
        <v>0</v>
      </c>
      <c r="L232">
        <f>dummy_variables!J232</f>
        <v>1</v>
      </c>
      <c r="M232">
        <f>dummy_variables!K232</f>
        <v>0</v>
      </c>
    </row>
    <row r="233" spans="1:13">
      <c r="A233">
        <f>cleaned_data!M233</f>
        <v>647512.85</v>
      </c>
      <c r="B233">
        <f>cleaned_data!E233</f>
        <v>25818.080000000002</v>
      </c>
      <c r="C233">
        <f>cleaned_data!F233</f>
        <v>5457</v>
      </c>
      <c r="D233">
        <f>cleaned_data!G233</f>
        <v>0</v>
      </c>
      <c r="E233">
        <f>cleaned_data!I233</f>
        <v>95.4</v>
      </c>
      <c r="F233">
        <f>cleaned_data!L233</f>
        <v>3.7</v>
      </c>
      <c r="G233">
        <f>cleaned_data!K233</f>
        <v>0</v>
      </c>
      <c r="H233">
        <f>dummy_variables!F233</f>
        <v>0</v>
      </c>
      <c r="I233">
        <f>dummy_variables!G233</f>
        <v>0</v>
      </c>
      <c r="J233">
        <f>dummy_variables!H233</f>
        <v>0</v>
      </c>
      <c r="K233">
        <f>dummy_variables!I233</f>
        <v>0</v>
      </c>
      <c r="L233">
        <f>dummy_variables!J233</f>
        <v>1</v>
      </c>
      <c r="M233">
        <f>dummy_variables!K233</f>
        <v>0</v>
      </c>
    </row>
    <row r="234" spans="1:13">
      <c r="A234">
        <f>cleaned_data!M234</f>
        <v>658072.14</v>
      </c>
      <c r="B234">
        <f>cleaned_data!E234</f>
        <v>47241.919999999998</v>
      </c>
      <c r="C234">
        <f>cleaned_data!F234</f>
        <v>4264</v>
      </c>
      <c r="D234">
        <f>cleaned_data!G234</f>
        <v>6.9000000000000006E-2</v>
      </c>
      <c r="E234">
        <f>cleaned_data!I234</f>
        <v>95.3</v>
      </c>
      <c r="F234">
        <f>cleaned_data!L234</f>
        <v>4.3</v>
      </c>
      <c r="G234">
        <f>cleaned_data!K234</f>
        <v>0</v>
      </c>
      <c r="H234">
        <f>dummy_variables!F234</f>
        <v>0</v>
      </c>
      <c r="I234">
        <f>dummy_variables!G234</f>
        <v>0</v>
      </c>
      <c r="J234">
        <f>dummy_variables!H234</f>
        <v>1</v>
      </c>
      <c r="K234">
        <f>dummy_variables!I234</f>
        <v>0</v>
      </c>
      <c r="L234">
        <f>dummy_variables!J234</f>
        <v>0</v>
      </c>
      <c r="M234">
        <f>dummy_variables!K234</f>
        <v>0</v>
      </c>
    </row>
    <row r="235" spans="1:13">
      <c r="A235">
        <f>cleaned_data!M235</f>
        <v>723305.11</v>
      </c>
      <c r="B235">
        <f>cleaned_data!E235</f>
        <v>61650.79</v>
      </c>
      <c r="C235">
        <f>cleaned_data!F235</f>
        <v>5321</v>
      </c>
      <c r="D235">
        <f>cleaned_data!G235</f>
        <v>0.126</v>
      </c>
      <c r="E235">
        <f>cleaned_data!I235</f>
        <v>89.2</v>
      </c>
      <c r="F235">
        <f>cleaned_data!L235</f>
        <v>4</v>
      </c>
      <c r="G235">
        <f>cleaned_data!K235</f>
        <v>0</v>
      </c>
      <c r="H235">
        <f>dummy_variables!F235</f>
        <v>0</v>
      </c>
      <c r="I235">
        <f>dummy_variables!G235</f>
        <v>0</v>
      </c>
      <c r="J235">
        <f>dummy_variables!H235</f>
        <v>1</v>
      </c>
      <c r="K235">
        <f>dummy_variables!I235</f>
        <v>0</v>
      </c>
      <c r="L235">
        <f>dummy_variables!J235</f>
        <v>0</v>
      </c>
      <c r="M235">
        <f>dummy_variables!K235</f>
        <v>0</v>
      </c>
    </row>
    <row r="236" spans="1:13">
      <c r="A236">
        <f>cleaned_data!M236</f>
        <v>640666.53</v>
      </c>
      <c r="B236">
        <f>cleaned_data!E236</f>
        <v>62582.71</v>
      </c>
      <c r="C236">
        <f>cleaned_data!F236</f>
        <v>5479</v>
      </c>
      <c r="D236">
        <f>cleaned_data!G236</f>
        <v>4.8000000000000001E-2</v>
      </c>
      <c r="E236">
        <f>cleaned_data!I236</f>
        <v>81.2</v>
      </c>
      <c r="F236">
        <f>cleaned_data!L236</f>
        <v>4.5</v>
      </c>
      <c r="G236">
        <f>cleaned_data!K236</f>
        <v>0</v>
      </c>
      <c r="H236">
        <f>dummy_variables!F236</f>
        <v>0</v>
      </c>
      <c r="I236">
        <f>dummy_variables!G236</f>
        <v>0</v>
      </c>
      <c r="J236">
        <f>dummy_variables!H236</f>
        <v>1</v>
      </c>
      <c r="K236">
        <f>dummy_variables!I236</f>
        <v>0</v>
      </c>
      <c r="L236">
        <f>dummy_variables!J236</f>
        <v>0</v>
      </c>
      <c r="M236">
        <f>dummy_variables!K236</f>
        <v>0</v>
      </c>
    </row>
    <row r="237" spans="1:13">
      <c r="A237">
        <f>cleaned_data!M237</f>
        <v>670629.48</v>
      </c>
      <c r="B237">
        <f>cleaned_data!E237</f>
        <v>47944.14</v>
      </c>
      <c r="C237">
        <f>cleaned_data!F237</f>
        <v>6169</v>
      </c>
      <c r="D237">
        <f>cleaned_data!G237</f>
        <v>0.11899999999999999</v>
      </c>
      <c r="E237">
        <f>cleaned_data!I237</f>
        <v>92.2</v>
      </c>
      <c r="F237">
        <f>cleaned_data!L237</f>
        <v>4.0999999999999996</v>
      </c>
      <c r="G237">
        <f>cleaned_data!K237</f>
        <v>0</v>
      </c>
      <c r="H237">
        <f>dummy_variables!F237</f>
        <v>0</v>
      </c>
      <c r="I237">
        <f>dummy_variables!G237</f>
        <v>0</v>
      </c>
      <c r="J237">
        <f>dummy_variables!H237</f>
        <v>1</v>
      </c>
      <c r="K237">
        <f>dummy_variables!I237</f>
        <v>0</v>
      </c>
      <c r="L237">
        <f>dummy_variables!J237</f>
        <v>0</v>
      </c>
      <c r="M237">
        <f>dummy_variables!K237</f>
        <v>0</v>
      </c>
    </row>
    <row r="238" spans="1:13">
      <c r="A238">
        <f>cleaned_data!M238</f>
        <v>721079.35</v>
      </c>
      <c r="B238">
        <f>cleaned_data!E238</f>
        <v>46495.4</v>
      </c>
      <c r="C238">
        <f>cleaned_data!F238</f>
        <v>9908</v>
      </c>
      <c r="D238">
        <f>cleaned_data!G238</f>
        <v>0.121</v>
      </c>
      <c r="E238">
        <f>cleaned_data!I238</f>
        <v>89.4</v>
      </c>
      <c r="F238">
        <f>cleaned_data!L238</f>
        <v>3.7</v>
      </c>
      <c r="G238">
        <f>cleaned_data!K238</f>
        <v>0</v>
      </c>
      <c r="H238">
        <f>dummy_variables!F238</f>
        <v>0</v>
      </c>
      <c r="I238">
        <f>dummy_variables!G238</f>
        <v>0</v>
      </c>
      <c r="J238">
        <f>dummy_variables!H238</f>
        <v>1</v>
      </c>
      <c r="K238">
        <f>dummy_variables!I238</f>
        <v>0</v>
      </c>
      <c r="L238">
        <f>dummy_variables!J238</f>
        <v>0</v>
      </c>
      <c r="M238">
        <f>dummy_variables!K238</f>
        <v>1</v>
      </c>
    </row>
    <row r="239" spans="1:13">
      <c r="A239">
        <f>cleaned_data!M239</f>
        <v>810355.02</v>
      </c>
      <c r="B239">
        <f>cleaned_data!E239</f>
        <v>72961.95</v>
      </c>
      <c r="C239">
        <f>cleaned_data!F239</f>
        <v>9996</v>
      </c>
      <c r="D239">
        <f>cleaned_data!G239</f>
        <v>0.106</v>
      </c>
      <c r="E239">
        <f>cleaned_data!I239</f>
        <v>89.1</v>
      </c>
      <c r="F239">
        <f>cleaned_data!L239</f>
        <v>3.4</v>
      </c>
      <c r="G239">
        <f>cleaned_data!K239</f>
        <v>0</v>
      </c>
      <c r="H239">
        <f>dummy_variables!F239</f>
        <v>0</v>
      </c>
      <c r="I239">
        <f>dummy_variables!G239</f>
        <v>0</v>
      </c>
      <c r="J239">
        <f>dummy_variables!H239</f>
        <v>1</v>
      </c>
      <c r="K239">
        <f>dummy_variables!I239</f>
        <v>0</v>
      </c>
      <c r="L239">
        <f>dummy_variables!J239</f>
        <v>0</v>
      </c>
      <c r="M239">
        <f>dummy_variables!K239</f>
        <v>1</v>
      </c>
    </row>
    <row r="240" spans="1:13">
      <c r="A240">
        <f>cleaned_data!M240</f>
        <v>761919.25</v>
      </c>
      <c r="B240">
        <f>cleaned_data!E240</f>
        <v>59060.05</v>
      </c>
      <c r="C240">
        <f>cleaned_data!F240</f>
        <v>9702</v>
      </c>
      <c r="D240">
        <f>cleaned_data!G240</f>
        <v>0.20100000000000001</v>
      </c>
      <c r="E240">
        <f>cleaned_data!I240</f>
        <v>80.900000000000006</v>
      </c>
      <c r="F240">
        <f>cleaned_data!L240</f>
        <v>3.2</v>
      </c>
      <c r="G240">
        <f>cleaned_data!K240</f>
        <v>0</v>
      </c>
      <c r="H240">
        <f>dummy_variables!F240</f>
        <v>0</v>
      </c>
      <c r="I240">
        <f>dummy_variables!G240</f>
        <v>0</v>
      </c>
      <c r="J240">
        <f>dummy_variables!H240</f>
        <v>1</v>
      </c>
      <c r="K240">
        <f>dummy_variables!I240</f>
        <v>0</v>
      </c>
      <c r="L240">
        <f>dummy_variables!J240</f>
        <v>0</v>
      </c>
      <c r="M240">
        <f>dummy_variables!K240</f>
        <v>1</v>
      </c>
    </row>
    <row r="241" spans="1:13">
      <c r="A241">
        <f>cleaned_data!M241</f>
        <v>737070.18</v>
      </c>
      <c r="B241">
        <f>cleaned_data!E241</f>
        <v>26248.1</v>
      </c>
      <c r="C241">
        <f>cleaned_data!F241</f>
        <v>9314</v>
      </c>
      <c r="D241">
        <f>cleaned_data!G241</f>
        <v>0.186</v>
      </c>
      <c r="E241">
        <f>cleaned_data!I241</f>
        <v>83.7</v>
      </c>
      <c r="F241">
        <f>cleaned_data!L241</f>
        <v>3.3</v>
      </c>
      <c r="G241">
        <f>cleaned_data!K241</f>
        <v>0</v>
      </c>
      <c r="H241">
        <f>dummy_variables!F241</f>
        <v>0</v>
      </c>
      <c r="I241">
        <f>dummy_variables!G241</f>
        <v>0</v>
      </c>
      <c r="J241">
        <f>dummy_variables!H241</f>
        <v>1</v>
      </c>
      <c r="K241">
        <f>dummy_variables!I241</f>
        <v>0</v>
      </c>
      <c r="L241">
        <f>dummy_variables!J241</f>
        <v>0</v>
      </c>
      <c r="M241">
        <f>dummy_variables!K241</f>
        <v>1</v>
      </c>
    </row>
    <row r="242" spans="1:13">
      <c r="A242">
        <f>cleaned_data!M242</f>
        <v>776992.93</v>
      </c>
      <c r="B242">
        <f>cleaned_data!E242</f>
        <v>69900.12</v>
      </c>
      <c r="C242">
        <f>cleaned_data!F242</f>
        <v>8055</v>
      </c>
      <c r="D242">
        <f>cleaned_data!G242</f>
        <v>0.28100000000000003</v>
      </c>
      <c r="E242">
        <f>cleaned_data!I242</f>
        <v>85.6</v>
      </c>
      <c r="F242">
        <f>cleaned_data!L242</f>
        <v>2.9</v>
      </c>
      <c r="G242">
        <f>cleaned_data!K242</f>
        <v>1</v>
      </c>
      <c r="H242">
        <f>dummy_variables!F242</f>
        <v>0</v>
      </c>
      <c r="I242">
        <f>dummy_variables!G242</f>
        <v>1</v>
      </c>
      <c r="J242">
        <f>dummy_variables!H242</f>
        <v>0</v>
      </c>
      <c r="K242">
        <f>dummy_variables!I242</f>
        <v>1</v>
      </c>
      <c r="L242">
        <f>dummy_variables!J242</f>
        <v>0</v>
      </c>
      <c r="M242">
        <f>dummy_variables!K242</f>
        <v>0</v>
      </c>
    </row>
    <row r="243" spans="1:13">
      <c r="A243">
        <f>cleaned_data!M243</f>
        <v>676337.41</v>
      </c>
      <c r="B243">
        <f>cleaned_data!E243</f>
        <v>51781.599999999999</v>
      </c>
      <c r="C243">
        <f>cleaned_data!F243</f>
        <v>5648</v>
      </c>
      <c r="D243">
        <f>cleaned_data!G243</f>
        <v>5.8999999999999997E-2</v>
      </c>
      <c r="E243">
        <f>cleaned_data!I243</f>
        <v>85.5</v>
      </c>
      <c r="F243">
        <f>cleaned_data!L243</f>
        <v>3.7</v>
      </c>
      <c r="G243">
        <f>cleaned_data!K243</f>
        <v>0</v>
      </c>
      <c r="H243">
        <f>dummy_variables!F243</f>
        <v>0</v>
      </c>
      <c r="I243">
        <f>dummy_variables!G243</f>
        <v>1</v>
      </c>
      <c r="J243">
        <f>dummy_variables!H243</f>
        <v>0</v>
      </c>
      <c r="K243">
        <f>dummy_variables!I243</f>
        <v>1</v>
      </c>
      <c r="L243">
        <f>dummy_variables!J243</f>
        <v>0</v>
      </c>
      <c r="M243">
        <f>dummy_variables!K243</f>
        <v>0</v>
      </c>
    </row>
    <row r="244" spans="1:13">
      <c r="A244">
        <f>cleaned_data!M244</f>
        <v>828219.67</v>
      </c>
      <c r="B244">
        <f>cleaned_data!E244</f>
        <v>70799.64</v>
      </c>
      <c r="C244">
        <f>cleaned_data!F244</f>
        <v>10076</v>
      </c>
      <c r="D244">
        <f>cleaned_data!G244</f>
        <v>0.152</v>
      </c>
      <c r="E244">
        <f>cleaned_data!I244</f>
        <v>84.8</v>
      </c>
      <c r="F244">
        <f>cleaned_data!L244</f>
        <v>3.5</v>
      </c>
      <c r="G244">
        <f>cleaned_data!K244</f>
        <v>0</v>
      </c>
      <c r="H244">
        <f>dummy_variables!F244</f>
        <v>0</v>
      </c>
      <c r="I244">
        <f>dummy_variables!G244</f>
        <v>1</v>
      </c>
      <c r="J244">
        <f>dummy_variables!H244</f>
        <v>0</v>
      </c>
      <c r="K244">
        <f>dummy_variables!I244</f>
        <v>1</v>
      </c>
      <c r="L244">
        <f>dummy_variables!J244</f>
        <v>0</v>
      </c>
      <c r="M244">
        <f>dummy_variables!K244</f>
        <v>0</v>
      </c>
    </row>
    <row r="245" spans="1:13">
      <c r="A245">
        <f>cleaned_data!M245</f>
        <v>763159.92</v>
      </c>
      <c r="B245">
        <f>cleaned_data!E245</f>
        <v>53546.34</v>
      </c>
      <c r="C245">
        <f>cleaned_data!F245</f>
        <v>8004</v>
      </c>
      <c r="D245">
        <f>cleaned_data!G245</f>
        <v>0</v>
      </c>
      <c r="E245">
        <f>cleaned_data!I245</f>
        <v>95.2</v>
      </c>
      <c r="F245">
        <f>cleaned_data!L245</f>
        <v>3</v>
      </c>
      <c r="G245">
        <f>cleaned_data!K245</f>
        <v>0</v>
      </c>
      <c r="H245">
        <f>dummy_variables!F245</f>
        <v>0</v>
      </c>
      <c r="I245">
        <f>dummy_variables!G245</f>
        <v>1</v>
      </c>
      <c r="J245">
        <f>dummy_variables!H245</f>
        <v>0</v>
      </c>
      <c r="K245">
        <f>dummy_variables!I245</f>
        <v>1</v>
      </c>
      <c r="L245">
        <f>dummy_variables!J245</f>
        <v>0</v>
      </c>
      <c r="M245">
        <f>dummy_variables!K245</f>
        <v>0</v>
      </c>
    </row>
    <row r="246" spans="1:13">
      <c r="A246">
        <f>cleaned_data!M246</f>
        <v>802001.68</v>
      </c>
      <c r="B246">
        <f>cleaned_data!E246</f>
        <v>76942.2</v>
      </c>
      <c r="C246">
        <f>cleaned_data!F246</f>
        <v>8934</v>
      </c>
      <c r="D246">
        <f>cleaned_data!G246</f>
        <v>8.4000000000000005E-2</v>
      </c>
      <c r="E246">
        <f>cleaned_data!I246</f>
        <v>91</v>
      </c>
      <c r="F246">
        <f>cleaned_data!L246</f>
        <v>3.2</v>
      </c>
      <c r="G246">
        <f>cleaned_data!K246</f>
        <v>0</v>
      </c>
      <c r="H246">
        <f>dummy_variables!F246</f>
        <v>0</v>
      </c>
      <c r="I246">
        <f>dummy_variables!G246</f>
        <v>0</v>
      </c>
      <c r="J246">
        <f>dummy_variables!H246</f>
        <v>0</v>
      </c>
      <c r="K246">
        <f>dummy_variables!I246</f>
        <v>0</v>
      </c>
      <c r="L246">
        <f>dummy_variables!J246</f>
        <v>1</v>
      </c>
      <c r="M246">
        <f>dummy_variables!K246</f>
        <v>0</v>
      </c>
    </row>
    <row r="247" spans="1:13">
      <c r="A247">
        <f>cleaned_data!M247</f>
        <v>750471.34</v>
      </c>
      <c r="B247">
        <f>cleaned_data!E247</f>
        <v>48060.78</v>
      </c>
      <c r="C247">
        <f>cleaned_data!F247</f>
        <v>8733</v>
      </c>
      <c r="D247">
        <f>cleaned_data!G247</f>
        <v>0</v>
      </c>
      <c r="E247">
        <f>cleaned_data!I247</f>
        <v>89.9</v>
      </c>
      <c r="F247">
        <f>cleaned_data!L247</f>
        <v>3.4</v>
      </c>
      <c r="G247">
        <f>cleaned_data!K247</f>
        <v>0</v>
      </c>
      <c r="H247">
        <f>dummy_variables!F247</f>
        <v>0</v>
      </c>
      <c r="I247">
        <f>dummy_variables!G247</f>
        <v>0</v>
      </c>
      <c r="J247">
        <f>dummy_variables!H247</f>
        <v>0</v>
      </c>
      <c r="K247">
        <f>dummy_variables!I247</f>
        <v>0</v>
      </c>
      <c r="L247">
        <f>dummy_variables!J247</f>
        <v>1</v>
      </c>
      <c r="M247">
        <f>dummy_variables!K247</f>
        <v>0</v>
      </c>
    </row>
    <row r="248" spans="1:13">
      <c r="A248">
        <f>cleaned_data!M248</f>
        <v>679230.86</v>
      </c>
      <c r="B248">
        <f>cleaned_data!E248</f>
        <v>57390.04</v>
      </c>
      <c r="C248">
        <f>cleaned_data!F248</f>
        <v>7374</v>
      </c>
      <c r="D248">
        <f>cleaned_data!G248</f>
        <v>0.21</v>
      </c>
      <c r="E248">
        <f>cleaned_data!I248</f>
        <v>91.8</v>
      </c>
      <c r="F248">
        <f>cleaned_data!L248</f>
        <v>3.1</v>
      </c>
      <c r="G248">
        <f>cleaned_data!K248</f>
        <v>0</v>
      </c>
      <c r="H248">
        <f>dummy_variables!F248</f>
        <v>0</v>
      </c>
      <c r="I248">
        <f>dummy_variables!G248</f>
        <v>0</v>
      </c>
      <c r="J248">
        <f>dummy_variables!H248</f>
        <v>0</v>
      </c>
      <c r="K248">
        <f>dummy_variables!I248</f>
        <v>0</v>
      </c>
      <c r="L248">
        <f>dummy_variables!J248</f>
        <v>1</v>
      </c>
      <c r="M248">
        <f>dummy_variables!K248</f>
        <v>0</v>
      </c>
    </row>
    <row r="249" spans="1:13">
      <c r="A249">
        <f>cleaned_data!M249</f>
        <v>679888.74</v>
      </c>
      <c r="B249">
        <f>cleaned_data!E249</f>
        <v>21536.18</v>
      </c>
      <c r="C249">
        <f>cleaned_data!F249</f>
        <v>8119</v>
      </c>
      <c r="D249">
        <f>cleaned_data!G249</f>
        <v>0.22700000000000001</v>
      </c>
      <c r="E249">
        <f>cleaned_data!I249</f>
        <v>90.4</v>
      </c>
      <c r="F249">
        <f>cleaned_data!L249</f>
        <v>3.3</v>
      </c>
      <c r="G249">
        <f>cleaned_data!K249</f>
        <v>0</v>
      </c>
      <c r="H249">
        <f>dummy_variables!F249</f>
        <v>0</v>
      </c>
      <c r="I249">
        <f>dummy_variables!G249</f>
        <v>0</v>
      </c>
      <c r="J249">
        <f>dummy_variables!H249</f>
        <v>0</v>
      </c>
      <c r="K249">
        <f>dummy_variables!I249</f>
        <v>0</v>
      </c>
      <c r="L249">
        <f>dummy_variables!J249</f>
        <v>1</v>
      </c>
      <c r="M249">
        <f>dummy_variables!K249</f>
        <v>0</v>
      </c>
    </row>
    <row r="250" spans="1:13">
      <c r="A250">
        <f>cleaned_data!M250</f>
        <v>606783.67000000004</v>
      </c>
      <c r="B250">
        <f>cleaned_data!E250</f>
        <v>40923.67</v>
      </c>
      <c r="C250">
        <f>cleaned_data!F250</f>
        <v>3875</v>
      </c>
      <c r="D250">
        <f>cleaned_data!G250</f>
        <v>0.15</v>
      </c>
      <c r="E250">
        <f>cleaned_data!I250</f>
        <v>96.1</v>
      </c>
      <c r="F250">
        <f>cleaned_data!L250</f>
        <v>3.8</v>
      </c>
      <c r="G250">
        <f>cleaned_data!K250</f>
        <v>0</v>
      </c>
      <c r="H250">
        <f>dummy_variables!F250</f>
        <v>1</v>
      </c>
      <c r="I250">
        <f>dummy_variables!G250</f>
        <v>0</v>
      </c>
      <c r="J250">
        <f>dummy_variables!H250</f>
        <v>0</v>
      </c>
      <c r="K250">
        <f>dummy_variables!I250</f>
        <v>0</v>
      </c>
      <c r="L250">
        <f>dummy_variables!J250</f>
        <v>1</v>
      </c>
      <c r="M250">
        <f>dummy_variables!K250</f>
        <v>0</v>
      </c>
    </row>
    <row r="251" spans="1:13">
      <c r="A251">
        <f>cleaned_data!M251</f>
        <v>642751.42000000004</v>
      </c>
      <c r="B251">
        <f>cleaned_data!E251</f>
        <v>72932.55</v>
      </c>
      <c r="C251">
        <f>cleaned_data!F251</f>
        <v>5765</v>
      </c>
      <c r="D251">
        <f>cleaned_data!G251</f>
        <v>2.5999999999999999E-2</v>
      </c>
      <c r="E251">
        <f>cleaned_data!I251</f>
        <v>81.8</v>
      </c>
      <c r="F251">
        <f>cleaned_data!L251</f>
        <v>3.6</v>
      </c>
      <c r="G251">
        <f>cleaned_data!K251</f>
        <v>0</v>
      </c>
      <c r="H251">
        <f>dummy_variables!F251</f>
        <v>1</v>
      </c>
      <c r="I251">
        <f>dummy_variables!G251</f>
        <v>0</v>
      </c>
      <c r="J251">
        <f>dummy_variables!H251</f>
        <v>0</v>
      </c>
      <c r="K251">
        <f>dummy_variables!I251</f>
        <v>0</v>
      </c>
      <c r="L251">
        <f>dummy_variables!J251</f>
        <v>1</v>
      </c>
      <c r="M251">
        <f>dummy_variables!K251</f>
        <v>0</v>
      </c>
    </row>
    <row r="252" spans="1:13">
      <c r="A252">
        <f>cleaned_data!M252</f>
        <v>647953.78</v>
      </c>
      <c r="B252">
        <f>cleaned_data!E252</f>
        <v>38361.93</v>
      </c>
      <c r="C252">
        <f>cleaned_data!F252</f>
        <v>6322</v>
      </c>
      <c r="D252">
        <f>cleaned_data!G252</f>
        <v>0.27300000000000002</v>
      </c>
      <c r="E252">
        <f>cleaned_data!I252</f>
        <v>88.4</v>
      </c>
      <c r="F252">
        <f>cleaned_data!L252</f>
        <v>4</v>
      </c>
      <c r="G252">
        <f>cleaned_data!K252</f>
        <v>0</v>
      </c>
      <c r="H252">
        <f>dummy_variables!F252</f>
        <v>1</v>
      </c>
      <c r="I252">
        <f>dummy_variables!G252</f>
        <v>0</v>
      </c>
      <c r="J252">
        <f>dummy_variables!H252</f>
        <v>0</v>
      </c>
      <c r="K252">
        <f>dummy_variables!I252</f>
        <v>0</v>
      </c>
      <c r="L252">
        <f>dummy_variables!J252</f>
        <v>1</v>
      </c>
      <c r="M252">
        <f>dummy_variables!K252</f>
        <v>0</v>
      </c>
    </row>
    <row r="253" spans="1:13">
      <c r="A253">
        <f>cleaned_data!M253</f>
        <v>729440.45</v>
      </c>
      <c r="B253">
        <f>cleaned_data!E253</f>
        <v>97480.94</v>
      </c>
      <c r="C253">
        <f>cleaned_data!F253</f>
        <v>6840</v>
      </c>
      <c r="D253">
        <f>cleaned_data!G253</f>
        <v>8.6999999999999994E-2</v>
      </c>
      <c r="E253">
        <f>cleaned_data!I253</f>
        <v>79.2</v>
      </c>
      <c r="F253">
        <f>cleaned_data!L253</f>
        <v>4</v>
      </c>
      <c r="G253">
        <f>cleaned_data!K253</f>
        <v>0</v>
      </c>
      <c r="H253">
        <f>dummy_variables!F253</f>
        <v>1</v>
      </c>
      <c r="I253">
        <f>dummy_variables!G253</f>
        <v>0</v>
      </c>
      <c r="J253">
        <f>dummy_variables!H253</f>
        <v>0</v>
      </c>
      <c r="K253">
        <f>dummy_variables!I253</f>
        <v>0</v>
      </c>
      <c r="L253">
        <f>dummy_variables!J253</f>
        <v>1</v>
      </c>
      <c r="M253">
        <f>dummy_variables!K253</f>
        <v>0</v>
      </c>
    </row>
    <row r="254" spans="1:13">
      <c r="A254">
        <f>cleaned_data!M254</f>
        <v>764949</v>
      </c>
      <c r="B254">
        <f>cleaned_data!E254</f>
        <v>81801.8</v>
      </c>
      <c r="C254">
        <f>cleaned_data!F254</f>
        <v>6782</v>
      </c>
      <c r="D254">
        <f>cleaned_data!G254</f>
        <v>0.05</v>
      </c>
      <c r="E254">
        <f>cleaned_data!I254</f>
        <v>99</v>
      </c>
      <c r="F254">
        <f>cleaned_data!L254</f>
        <v>3.7</v>
      </c>
      <c r="G254">
        <f>cleaned_data!K254</f>
        <v>0</v>
      </c>
      <c r="H254">
        <f>dummy_variables!F254</f>
        <v>0</v>
      </c>
      <c r="I254">
        <f>dummy_variables!G254</f>
        <v>1</v>
      </c>
      <c r="J254">
        <f>dummy_variables!H254</f>
        <v>0</v>
      </c>
      <c r="K254">
        <f>dummy_variables!I254</f>
        <v>1</v>
      </c>
      <c r="L254">
        <f>dummy_variables!J254</f>
        <v>0</v>
      </c>
      <c r="M254">
        <f>dummy_variables!K254</f>
        <v>0</v>
      </c>
    </row>
    <row r="255" spans="1:13">
      <c r="A255">
        <f>cleaned_data!M255</f>
        <v>799046.94</v>
      </c>
      <c r="B255">
        <f>cleaned_data!E255</f>
        <v>63582.11</v>
      </c>
      <c r="C255">
        <f>cleaned_data!F255</f>
        <v>6856</v>
      </c>
      <c r="D255">
        <f>cleaned_data!G255</f>
        <v>7.3999999999999996E-2</v>
      </c>
      <c r="E255">
        <f>cleaned_data!I255</f>
        <v>89.5</v>
      </c>
      <c r="F255">
        <f>cleaned_data!L255</f>
        <v>3.2</v>
      </c>
      <c r="G255">
        <f>cleaned_data!K255</f>
        <v>0</v>
      </c>
      <c r="H255">
        <f>dummy_variables!F255</f>
        <v>0</v>
      </c>
      <c r="I255">
        <f>dummy_variables!G255</f>
        <v>1</v>
      </c>
      <c r="J255">
        <f>dummy_variables!H255</f>
        <v>0</v>
      </c>
      <c r="K255">
        <f>dummy_variables!I255</f>
        <v>1</v>
      </c>
      <c r="L255">
        <f>dummy_variables!J255</f>
        <v>0</v>
      </c>
      <c r="M255">
        <f>dummy_variables!K255</f>
        <v>0</v>
      </c>
    </row>
    <row r="256" spans="1:13">
      <c r="A256">
        <f>cleaned_data!M256</f>
        <v>720079.54</v>
      </c>
      <c r="B256">
        <f>cleaned_data!E256</f>
        <v>75412.740000000005</v>
      </c>
      <c r="C256">
        <f>cleaned_data!F256</f>
        <v>5641</v>
      </c>
      <c r="D256">
        <f>cleaned_data!G256</f>
        <v>5.8999999999999997E-2</v>
      </c>
      <c r="E256">
        <f>cleaned_data!I256</f>
        <v>87.9</v>
      </c>
      <c r="F256">
        <f>cleaned_data!L256</f>
        <v>3.6</v>
      </c>
      <c r="G256">
        <f>cleaned_data!K256</f>
        <v>0</v>
      </c>
      <c r="H256">
        <f>dummy_variables!F256</f>
        <v>0</v>
      </c>
      <c r="I256">
        <f>dummy_variables!G256</f>
        <v>1</v>
      </c>
      <c r="J256">
        <f>dummy_variables!H256</f>
        <v>0</v>
      </c>
      <c r="K256">
        <f>dummy_variables!I256</f>
        <v>1</v>
      </c>
      <c r="L256">
        <f>dummy_variables!J256</f>
        <v>0</v>
      </c>
      <c r="M256">
        <f>dummy_variables!K256</f>
        <v>0</v>
      </c>
    </row>
    <row r="257" spans="1:13">
      <c r="A257">
        <f>cleaned_data!M257</f>
        <v>612390.14</v>
      </c>
      <c r="B257">
        <f>cleaned_data!E257</f>
        <v>36290.080000000002</v>
      </c>
      <c r="C257">
        <f>cleaned_data!F257</f>
        <v>5787</v>
      </c>
      <c r="D257">
        <f>cleaned_data!G257</f>
        <v>0</v>
      </c>
      <c r="E257">
        <f>cleaned_data!I257</f>
        <v>88.3</v>
      </c>
      <c r="F257">
        <f>cleaned_data!L257</f>
        <v>4.0999999999999996</v>
      </c>
      <c r="G257">
        <f>cleaned_data!K257</f>
        <v>0</v>
      </c>
      <c r="H257">
        <f>dummy_variables!F257</f>
        <v>0</v>
      </c>
      <c r="I257">
        <f>dummy_variables!G257</f>
        <v>1</v>
      </c>
      <c r="J257">
        <f>dummy_variables!H257</f>
        <v>0</v>
      </c>
      <c r="K257">
        <f>dummy_variables!I257</f>
        <v>1</v>
      </c>
      <c r="L257">
        <f>dummy_variables!J257</f>
        <v>0</v>
      </c>
      <c r="M257">
        <f>dummy_variables!K257</f>
        <v>0</v>
      </c>
    </row>
    <row r="258" spans="1:13">
      <c r="A258">
        <f>cleaned_data!M258</f>
        <v>840108.12</v>
      </c>
      <c r="B258">
        <f>cleaned_data!E258</f>
        <v>65272.58</v>
      </c>
      <c r="C258">
        <f>cleaned_data!F258</f>
        <v>8165</v>
      </c>
      <c r="D258">
        <f>cleaned_data!G258</f>
        <v>5.0999999999999997E-2</v>
      </c>
      <c r="E258">
        <f>cleaned_data!I258</f>
        <v>87.8</v>
      </c>
      <c r="F258">
        <f>cleaned_data!L258</f>
        <v>4.3</v>
      </c>
      <c r="G258">
        <f>cleaned_data!K258</f>
        <v>1</v>
      </c>
      <c r="H258">
        <f>dummy_variables!F258</f>
        <v>0</v>
      </c>
      <c r="I258">
        <f>dummy_variables!G258</f>
        <v>1</v>
      </c>
      <c r="J258">
        <f>dummy_variables!H258</f>
        <v>0</v>
      </c>
      <c r="K258">
        <f>dummy_variables!I258</f>
        <v>0</v>
      </c>
      <c r="L258">
        <f>dummy_variables!J258</f>
        <v>0</v>
      </c>
      <c r="M258">
        <f>dummy_variables!K258</f>
        <v>1</v>
      </c>
    </row>
    <row r="259" spans="1:13">
      <c r="A259">
        <f>cleaned_data!M259</f>
        <v>697888.09</v>
      </c>
      <c r="B259">
        <f>cleaned_data!E259</f>
        <v>28670.43</v>
      </c>
      <c r="C259">
        <f>cleaned_data!F259</f>
        <v>7574</v>
      </c>
      <c r="D259">
        <f>cleaned_data!G259</f>
        <v>0.114</v>
      </c>
      <c r="E259">
        <f>cleaned_data!I259</f>
        <v>82.7</v>
      </c>
      <c r="F259">
        <f>cleaned_data!L259</f>
        <v>4.5999999999999996</v>
      </c>
      <c r="G259">
        <f>cleaned_data!K259</f>
        <v>0</v>
      </c>
      <c r="H259">
        <f>dummy_variables!F259</f>
        <v>0</v>
      </c>
      <c r="I259">
        <f>dummy_variables!G259</f>
        <v>1</v>
      </c>
      <c r="J259">
        <f>dummy_variables!H259</f>
        <v>0</v>
      </c>
      <c r="K259">
        <f>dummy_variables!I259</f>
        <v>0</v>
      </c>
      <c r="L259">
        <f>dummy_variables!J259</f>
        <v>0</v>
      </c>
      <c r="M259">
        <f>dummy_variables!K259</f>
        <v>1</v>
      </c>
    </row>
    <row r="260" spans="1:13">
      <c r="A260">
        <f>cleaned_data!M260</f>
        <v>746115.59</v>
      </c>
      <c r="B260">
        <f>cleaned_data!E260</f>
        <v>44189.34</v>
      </c>
      <c r="C260">
        <f>cleaned_data!F260</f>
        <v>8634</v>
      </c>
      <c r="D260">
        <f>cleaned_data!G260</f>
        <v>0.14299999999999999</v>
      </c>
      <c r="E260">
        <f>cleaned_data!I260</f>
        <v>87.5</v>
      </c>
      <c r="F260">
        <f>cleaned_data!L260</f>
        <v>4.4000000000000004</v>
      </c>
      <c r="G260">
        <f>cleaned_data!K260</f>
        <v>0</v>
      </c>
      <c r="H260">
        <f>dummy_variables!F260</f>
        <v>0</v>
      </c>
      <c r="I260">
        <f>dummy_variables!G260</f>
        <v>1</v>
      </c>
      <c r="J260">
        <f>dummy_variables!H260</f>
        <v>0</v>
      </c>
      <c r="K260">
        <f>dummy_variables!I260</f>
        <v>0</v>
      </c>
      <c r="L260">
        <f>dummy_variables!J260</f>
        <v>0</v>
      </c>
      <c r="M260">
        <f>dummy_variables!K260</f>
        <v>1</v>
      </c>
    </row>
    <row r="261" spans="1:13">
      <c r="A261">
        <f>cleaned_data!M261</f>
        <v>776110.32</v>
      </c>
      <c r="B261">
        <f>cleaned_data!E261</f>
        <v>38397.82</v>
      </c>
      <c r="C261">
        <f>cleaned_data!F261</f>
        <v>7836</v>
      </c>
      <c r="D261">
        <f>cleaned_data!G261</f>
        <v>7.0000000000000001E-3</v>
      </c>
      <c r="E261">
        <f>cleaned_data!I261</f>
        <v>92.2</v>
      </c>
      <c r="F261">
        <f>cleaned_data!L261</f>
        <v>3.6</v>
      </c>
      <c r="G261">
        <f>cleaned_data!K261</f>
        <v>0</v>
      </c>
      <c r="H261">
        <f>dummy_variables!F261</f>
        <v>0</v>
      </c>
      <c r="I261">
        <f>dummy_variables!G261</f>
        <v>1</v>
      </c>
      <c r="J261">
        <f>dummy_variables!H261</f>
        <v>0</v>
      </c>
      <c r="K261">
        <f>dummy_variables!I261</f>
        <v>0</v>
      </c>
      <c r="L261">
        <f>dummy_variables!J261</f>
        <v>0</v>
      </c>
      <c r="M261">
        <f>dummy_variables!K261</f>
        <v>1</v>
      </c>
    </row>
    <row r="262" spans="1:13">
      <c r="A262">
        <f>cleaned_data!M262</f>
        <v>528852.62</v>
      </c>
      <c r="B262">
        <f>cleaned_data!E262</f>
        <v>14519.37</v>
      </c>
      <c r="C262">
        <f>cleaned_data!F262</f>
        <v>3047</v>
      </c>
      <c r="D262">
        <f>cleaned_data!G262</f>
        <v>0.13500000000000001</v>
      </c>
      <c r="E262">
        <f>cleaned_data!I262</f>
        <v>90.3</v>
      </c>
      <c r="F262">
        <f>cleaned_data!L262</f>
        <v>4.2</v>
      </c>
      <c r="G262">
        <f>cleaned_data!K262</f>
        <v>0</v>
      </c>
      <c r="H262">
        <f>dummy_variables!F262</f>
        <v>0</v>
      </c>
      <c r="I262">
        <f>dummy_variables!G262</f>
        <v>0</v>
      </c>
      <c r="J262">
        <f>dummy_variables!H262</f>
        <v>1</v>
      </c>
      <c r="K262">
        <f>dummy_variables!I262</f>
        <v>0</v>
      </c>
      <c r="L262">
        <f>dummy_variables!J262</f>
        <v>1</v>
      </c>
      <c r="M262">
        <f>dummy_variables!K262</f>
        <v>0</v>
      </c>
    </row>
    <row r="263" spans="1:13">
      <c r="A263">
        <f>cleaned_data!M263</f>
        <v>605751.32999999996</v>
      </c>
      <c r="B263">
        <f>cleaned_data!E263</f>
        <v>43288.2</v>
      </c>
      <c r="C263">
        <f>cleaned_data!F263</f>
        <v>4783</v>
      </c>
      <c r="D263">
        <f>cleaned_data!G263</f>
        <v>0.16900000000000001</v>
      </c>
      <c r="E263">
        <f>cleaned_data!I263</f>
        <v>87.3</v>
      </c>
      <c r="F263">
        <f>cleaned_data!L263</f>
        <v>4.2</v>
      </c>
      <c r="G263">
        <f>cleaned_data!K263</f>
        <v>0</v>
      </c>
      <c r="H263">
        <f>dummy_variables!F263</f>
        <v>0</v>
      </c>
      <c r="I263">
        <f>dummy_variables!G263</f>
        <v>0</v>
      </c>
      <c r="J263">
        <f>dummy_variables!H263</f>
        <v>1</v>
      </c>
      <c r="K263">
        <f>dummy_variables!I263</f>
        <v>0</v>
      </c>
      <c r="L263">
        <f>dummy_variables!J263</f>
        <v>1</v>
      </c>
      <c r="M263">
        <f>dummy_variables!K263</f>
        <v>0</v>
      </c>
    </row>
    <row r="264" spans="1:13">
      <c r="A264">
        <f>cleaned_data!M264</f>
        <v>677640.65</v>
      </c>
      <c r="B264">
        <f>cleaned_data!E264</f>
        <v>51450.55</v>
      </c>
      <c r="C264">
        <f>cleaned_data!F264</f>
        <v>4902</v>
      </c>
      <c r="D264">
        <f>cleaned_data!G264</f>
        <v>8.5999999999999993E-2</v>
      </c>
      <c r="E264">
        <f>cleaned_data!I264</f>
        <v>83.7</v>
      </c>
      <c r="F264">
        <f>cleaned_data!L264</f>
        <v>4.2</v>
      </c>
      <c r="G264">
        <f>cleaned_data!K264</f>
        <v>1</v>
      </c>
      <c r="H264">
        <f>dummy_variables!F264</f>
        <v>0</v>
      </c>
      <c r="I264">
        <f>dummy_variables!G264</f>
        <v>0</v>
      </c>
      <c r="J264">
        <f>dummy_variables!H264</f>
        <v>1</v>
      </c>
      <c r="K264">
        <f>dummy_variables!I264</f>
        <v>0</v>
      </c>
      <c r="L264">
        <f>dummy_variables!J264</f>
        <v>1</v>
      </c>
      <c r="M264">
        <f>dummy_variables!K264</f>
        <v>0</v>
      </c>
    </row>
    <row r="265" spans="1:13">
      <c r="A265">
        <f>cleaned_data!M265</f>
        <v>636613.23</v>
      </c>
      <c r="B265">
        <f>cleaned_data!E265</f>
        <v>58688.26</v>
      </c>
      <c r="C265">
        <f>cleaned_data!F265</f>
        <v>4022</v>
      </c>
      <c r="D265">
        <f>cleaned_data!G265</f>
        <v>0.217</v>
      </c>
      <c r="E265">
        <f>cleaned_data!I265</f>
        <v>93.8</v>
      </c>
      <c r="F265">
        <f>cleaned_data!L265</f>
        <v>3.7</v>
      </c>
      <c r="G265">
        <f>cleaned_data!K265</f>
        <v>0</v>
      </c>
      <c r="H265">
        <f>dummy_variables!F265</f>
        <v>0</v>
      </c>
      <c r="I265">
        <f>dummy_variables!G265</f>
        <v>0</v>
      </c>
      <c r="J265">
        <f>dummy_variables!H265</f>
        <v>1</v>
      </c>
      <c r="K265">
        <f>dummy_variables!I265</f>
        <v>0</v>
      </c>
      <c r="L265">
        <f>dummy_variables!J265</f>
        <v>1</v>
      </c>
      <c r="M265">
        <f>dummy_variables!K265</f>
        <v>0</v>
      </c>
    </row>
    <row r="266" spans="1:13">
      <c r="A266">
        <f>cleaned_data!M266</f>
        <v>708985.19</v>
      </c>
      <c r="B266">
        <f>cleaned_data!E266</f>
        <v>58981.91</v>
      </c>
      <c r="C266">
        <f>cleaned_data!F266</f>
        <v>7324</v>
      </c>
      <c r="D266">
        <f>cleaned_data!G266</f>
        <v>9.4E-2</v>
      </c>
      <c r="E266">
        <f>cleaned_data!I266</f>
        <v>95.8</v>
      </c>
      <c r="F266">
        <f>cleaned_data!L266</f>
        <v>3.5</v>
      </c>
      <c r="G266">
        <f>cleaned_data!K266</f>
        <v>0</v>
      </c>
      <c r="H266">
        <f>dummy_variables!F266</f>
        <v>0</v>
      </c>
      <c r="I266">
        <f>dummy_variables!G266</f>
        <v>0</v>
      </c>
      <c r="J266">
        <f>dummy_variables!H266</f>
        <v>0</v>
      </c>
      <c r="K266">
        <f>dummy_variables!I266</f>
        <v>0</v>
      </c>
      <c r="L266">
        <f>dummy_variables!J266</f>
        <v>1</v>
      </c>
      <c r="M266">
        <f>dummy_variables!K266</f>
        <v>0</v>
      </c>
    </row>
    <row r="267" spans="1:13">
      <c r="A267">
        <f>cleaned_data!M267</f>
        <v>767792.94</v>
      </c>
      <c r="B267">
        <f>cleaned_data!E267</f>
        <v>73454.539999999994</v>
      </c>
      <c r="C267">
        <f>cleaned_data!F267</f>
        <v>8129</v>
      </c>
      <c r="D267">
        <f>cleaned_data!G267</f>
        <v>0.21099999999999999</v>
      </c>
      <c r="E267">
        <f>cleaned_data!I267</f>
        <v>85.2</v>
      </c>
      <c r="F267">
        <f>cleaned_data!L267</f>
        <v>3.7</v>
      </c>
      <c r="G267">
        <f>cleaned_data!K267</f>
        <v>0</v>
      </c>
      <c r="H267">
        <f>dummy_variables!F267</f>
        <v>0</v>
      </c>
      <c r="I267">
        <f>dummy_variables!G267</f>
        <v>0</v>
      </c>
      <c r="J267">
        <f>dummy_variables!H267</f>
        <v>0</v>
      </c>
      <c r="K267">
        <f>dummy_variables!I267</f>
        <v>0</v>
      </c>
      <c r="L267">
        <f>dummy_variables!J267</f>
        <v>1</v>
      </c>
      <c r="M267">
        <f>dummy_variables!K267</f>
        <v>0</v>
      </c>
    </row>
    <row r="268" spans="1:13">
      <c r="A268">
        <f>cleaned_data!M268</f>
        <v>745580.51</v>
      </c>
      <c r="B268">
        <f>cleaned_data!E268</f>
        <v>56602.39</v>
      </c>
      <c r="C268">
        <f>cleaned_data!F268</f>
        <v>7969</v>
      </c>
      <c r="D268">
        <f>cleaned_data!G268</f>
        <v>0.17</v>
      </c>
      <c r="E268">
        <f>cleaned_data!I268</f>
        <v>88.3</v>
      </c>
      <c r="F268">
        <f>cleaned_data!L268</f>
        <v>3.7</v>
      </c>
      <c r="G268">
        <f>cleaned_data!K268</f>
        <v>0</v>
      </c>
      <c r="H268">
        <f>dummy_variables!F268</f>
        <v>0</v>
      </c>
      <c r="I268">
        <f>dummy_variables!G268</f>
        <v>0</v>
      </c>
      <c r="J268">
        <f>dummy_variables!H268</f>
        <v>0</v>
      </c>
      <c r="K268">
        <f>dummy_variables!I268</f>
        <v>0</v>
      </c>
      <c r="L268">
        <f>dummy_variables!J268</f>
        <v>1</v>
      </c>
      <c r="M268">
        <f>dummy_variables!K268</f>
        <v>0</v>
      </c>
    </row>
    <row r="269" spans="1:13">
      <c r="A269">
        <f>cleaned_data!M269</f>
        <v>762328.31</v>
      </c>
      <c r="B269">
        <f>cleaned_data!E269</f>
        <v>67722.289999999994</v>
      </c>
      <c r="C269">
        <f>cleaned_data!F269</f>
        <v>7240</v>
      </c>
      <c r="D269">
        <f>cleaned_data!G269</f>
        <v>2.5999999999999999E-2</v>
      </c>
      <c r="E269">
        <f>cleaned_data!I269</f>
        <v>92.9</v>
      </c>
      <c r="F269">
        <f>cleaned_data!L269</f>
        <v>3.5</v>
      </c>
      <c r="G269">
        <f>cleaned_data!K269</f>
        <v>0</v>
      </c>
      <c r="H269">
        <f>dummy_variables!F269</f>
        <v>0</v>
      </c>
      <c r="I269">
        <f>dummy_variables!G269</f>
        <v>0</v>
      </c>
      <c r="J269">
        <f>dummy_variables!H269</f>
        <v>0</v>
      </c>
      <c r="K269">
        <f>dummy_variables!I269</f>
        <v>0</v>
      </c>
      <c r="L269">
        <f>dummy_variables!J269</f>
        <v>1</v>
      </c>
      <c r="M269">
        <f>dummy_variables!K269</f>
        <v>0</v>
      </c>
    </row>
    <row r="270" spans="1:13">
      <c r="A270">
        <f>cleaned_data!M270</f>
        <v>660633.99</v>
      </c>
      <c r="B270">
        <f>cleaned_data!E270</f>
        <v>48752.92</v>
      </c>
      <c r="C270">
        <f>cleaned_data!F270</f>
        <v>8052</v>
      </c>
      <c r="D270">
        <f>cleaned_data!G270</f>
        <v>0.106</v>
      </c>
      <c r="E270">
        <f>cleaned_data!I270</f>
        <v>94.9</v>
      </c>
      <c r="F270">
        <f>cleaned_data!L270</f>
        <v>3.6</v>
      </c>
      <c r="G270">
        <f>cleaned_data!K270</f>
        <v>0</v>
      </c>
      <c r="H270">
        <f>dummy_variables!F270</f>
        <v>0</v>
      </c>
      <c r="I270">
        <f>dummy_variables!G270</f>
        <v>0</v>
      </c>
      <c r="J270">
        <f>dummy_variables!H270</f>
        <v>0</v>
      </c>
      <c r="K270">
        <f>dummy_variables!I270</f>
        <v>0</v>
      </c>
      <c r="L270">
        <f>dummy_variables!J270</f>
        <v>0</v>
      </c>
      <c r="M270">
        <f>dummy_variables!K270</f>
        <v>1</v>
      </c>
    </row>
    <row r="271" spans="1:13">
      <c r="A271">
        <f>cleaned_data!M271</f>
        <v>739374.56</v>
      </c>
      <c r="B271">
        <f>cleaned_data!E271</f>
        <v>23914.97</v>
      </c>
      <c r="C271">
        <f>cleaned_data!F271</f>
        <v>8018</v>
      </c>
      <c r="D271">
        <f>cleaned_data!G271</f>
        <v>0.13900000000000001</v>
      </c>
      <c r="E271">
        <f>cleaned_data!I271</f>
        <v>89</v>
      </c>
      <c r="F271">
        <f>cleaned_data!L271</f>
        <v>3.5</v>
      </c>
      <c r="G271">
        <f>cleaned_data!K271</f>
        <v>0</v>
      </c>
      <c r="H271">
        <f>dummy_variables!F271</f>
        <v>0</v>
      </c>
      <c r="I271">
        <f>dummy_variables!G271</f>
        <v>0</v>
      </c>
      <c r="J271">
        <f>dummy_variables!H271</f>
        <v>0</v>
      </c>
      <c r="K271">
        <f>dummy_variables!I271</f>
        <v>0</v>
      </c>
      <c r="L271">
        <f>dummy_variables!J271</f>
        <v>0</v>
      </c>
      <c r="M271">
        <f>dummy_variables!K271</f>
        <v>1</v>
      </c>
    </row>
    <row r="272" spans="1:13">
      <c r="A272">
        <f>cleaned_data!M272</f>
        <v>799756.46</v>
      </c>
      <c r="B272">
        <f>cleaned_data!E272</f>
        <v>61995.3</v>
      </c>
      <c r="C272">
        <f>cleaned_data!F272</f>
        <v>10192</v>
      </c>
      <c r="D272">
        <f>cleaned_data!G272</f>
        <v>0.19800000000000001</v>
      </c>
      <c r="E272">
        <f>cleaned_data!I272</f>
        <v>87.6</v>
      </c>
      <c r="F272">
        <f>cleaned_data!L272</f>
        <v>3.8</v>
      </c>
      <c r="G272">
        <f>cleaned_data!K272</f>
        <v>1</v>
      </c>
      <c r="H272">
        <f>dummy_variables!F272</f>
        <v>0</v>
      </c>
      <c r="I272">
        <f>dummy_variables!G272</f>
        <v>0</v>
      </c>
      <c r="J272">
        <f>dummy_variables!H272</f>
        <v>0</v>
      </c>
      <c r="K272">
        <f>dummy_variables!I272</f>
        <v>0</v>
      </c>
      <c r="L272">
        <f>dummy_variables!J272</f>
        <v>0</v>
      </c>
      <c r="M272">
        <f>dummy_variables!K272</f>
        <v>1</v>
      </c>
    </row>
    <row r="273" spans="1:13">
      <c r="A273">
        <f>cleaned_data!M273</f>
        <v>593343</v>
      </c>
      <c r="B273">
        <f>cleaned_data!E273</f>
        <v>29344.93</v>
      </c>
      <c r="C273">
        <f>cleaned_data!F273</f>
        <v>7446</v>
      </c>
      <c r="D273">
        <f>cleaned_data!G273</f>
        <v>0.111</v>
      </c>
      <c r="E273">
        <f>cleaned_data!I273</f>
        <v>86.2</v>
      </c>
      <c r="F273">
        <f>cleaned_data!L273</f>
        <v>3.2</v>
      </c>
      <c r="G273">
        <f>cleaned_data!K273</f>
        <v>0</v>
      </c>
      <c r="H273">
        <f>dummy_variables!F273</f>
        <v>0</v>
      </c>
      <c r="I273">
        <f>dummy_variables!G273</f>
        <v>0</v>
      </c>
      <c r="J273">
        <f>dummy_variables!H273</f>
        <v>0</v>
      </c>
      <c r="K273">
        <f>dummy_variables!I273</f>
        <v>0</v>
      </c>
      <c r="L273">
        <f>dummy_variables!J273</f>
        <v>0</v>
      </c>
      <c r="M273">
        <f>dummy_variables!K273</f>
        <v>1</v>
      </c>
    </row>
    <row r="274" spans="1:13">
      <c r="A274">
        <f>cleaned_data!M274</f>
        <v>645039.97</v>
      </c>
      <c r="B274">
        <f>cleaned_data!E274</f>
        <v>50532.17</v>
      </c>
      <c r="C274">
        <f>cleaned_data!F274</f>
        <v>5689</v>
      </c>
      <c r="D274">
        <f>cleaned_data!G274</f>
        <v>5.1999999999999998E-2</v>
      </c>
      <c r="E274">
        <f>cleaned_data!I274</f>
        <v>85.6</v>
      </c>
      <c r="F274">
        <f>cleaned_data!L274</f>
        <v>3.3</v>
      </c>
      <c r="G274">
        <f>cleaned_data!K274</f>
        <v>0</v>
      </c>
      <c r="H274">
        <f>dummy_variables!F274</f>
        <v>0</v>
      </c>
      <c r="I274">
        <f>dummy_variables!G274</f>
        <v>0</v>
      </c>
      <c r="J274">
        <f>dummy_variables!H274</f>
        <v>1</v>
      </c>
      <c r="K274">
        <f>dummy_variables!I274</f>
        <v>0</v>
      </c>
      <c r="L274">
        <f>dummy_variables!J274</f>
        <v>1</v>
      </c>
      <c r="M274">
        <f>dummy_variables!K274</f>
        <v>0</v>
      </c>
    </row>
    <row r="275" spans="1:13">
      <c r="A275">
        <f>cleaned_data!M275</f>
        <v>561597.32999999996</v>
      </c>
      <c r="B275">
        <f>cleaned_data!E275</f>
        <v>17562.57</v>
      </c>
      <c r="C275">
        <f>cleaned_data!F275</f>
        <v>3326</v>
      </c>
      <c r="D275">
        <f>cleaned_data!G275</f>
        <v>0.153</v>
      </c>
      <c r="E275">
        <f>cleaned_data!I275</f>
        <v>88.1</v>
      </c>
      <c r="F275">
        <f>cleaned_data!L275</f>
        <v>3.1</v>
      </c>
      <c r="G275">
        <f>cleaned_data!K275</f>
        <v>0</v>
      </c>
      <c r="H275">
        <f>dummy_variables!F275</f>
        <v>0</v>
      </c>
      <c r="I275">
        <f>dummy_variables!G275</f>
        <v>0</v>
      </c>
      <c r="J275">
        <f>dummy_variables!H275</f>
        <v>1</v>
      </c>
      <c r="K275">
        <f>dummy_variables!I275</f>
        <v>0</v>
      </c>
      <c r="L275">
        <f>dummy_variables!J275</f>
        <v>1</v>
      </c>
      <c r="M275">
        <f>dummy_variables!K275</f>
        <v>0</v>
      </c>
    </row>
    <row r="276" spans="1:13">
      <c r="A276">
        <f>cleaned_data!M276</f>
        <v>635837.74</v>
      </c>
      <c r="B276">
        <f>cleaned_data!E276</f>
        <v>47648.71</v>
      </c>
      <c r="C276">
        <f>cleaned_data!F276</f>
        <v>5767</v>
      </c>
      <c r="D276">
        <f>cleaned_data!G276</f>
        <v>0.14099999999999999</v>
      </c>
      <c r="E276">
        <f>cleaned_data!I276</f>
        <v>89.8</v>
      </c>
      <c r="F276">
        <f>cleaned_data!L276</f>
        <v>3.1</v>
      </c>
      <c r="G276">
        <f>cleaned_data!K276</f>
        <v>0</v>
      </c>
      <c r="H276">
        <f>dummy_variables!F276</f>
        <v>0</v>
      </c>
      <c r="I276">
        <f>dummy_variables!G276</f>
        <v>0</v>
      </c>
      <c r="J276">
        <f>dummy_variables!H276</f>
        <v>1</v>
      </c>
      <c r="K276">
        <f>dummy_variables!I276</f>
        <v>0</v>
      </c>
      <c r="L276">
        <f>dummy_variables!J276</f>
        <v>1</v>
      </c>
      <c r="M276">
        <f>dummy_variables!K276</f>
        <v>0</v>
      </c>
    </row>
    <row r="277" spans="1:13">
      <c r="A277">
        <f>cleaned_data!M277</f>
        <v>686737.87</v>
      </c>
      <c r="B277">
        <f>cleaned_data!E277</f>
        <v>38297.58</v>
      </c>
      <c r="C277">
        <f>cleaned_data!F277</f>
        <v>5893</v>
      </c>
      <c r="D277">
        <f>cleaned_data!G277</f>
        <v>0.247</v>
      </c>
      <c r="E277">
        <f>cleaned_data!I277</f>
        <v>77.599999999999994</v>
      </c>
      <c r="F277">
        <f>cleaned_data!L277</f>
        <v>3</v>
      </c>
      <c r="G277">
        <f>cleaned_data!K277</f>
        <v>0</v>
      </c>
      <c r="H277">
        <f>dummy_variables!F277</f>
        <v>0</v>
      </c>
      <c r="I277">
        <f>dummy_variables!G277</f>
        <v>0</v>
      </c>
      <c r="J277">
        <f>dummy_variables!H277</f>
        <v>1</v>
      </c>
      <c r="K277">
        <f>dummy_variables!I277</f>
        <v>0</v>
      </c>
      <c r="L277">
        <f>dummy_variables!J277</f>
        <v>1</v>
      </c>
      <c r="M277">
        <f>dummy_variables!K277</f>
        <v>0</v>
      </c>
    </row>
    <row r="278" spans="1:13">
      <c r="A278">
        <f>cleaned_data!M278</f>
        <v>673076.34</v>
      </c>
      <c r="B278">
        <f>cleaned_data!E278</f>
        <v>61784.11</v>
      </c>
      <c r="C278">
        <f>cleaned_data!F278</f>
        <v>8564</v>
      </c>
      <c r="D278">
        <f>cleaned_data!G278</f>
        <v>0.13</v>
      </c>
      <c r="E278">
        <f>cleaned_data!I278</f>
        <v>87.4</v>
      </c>
      <c r="F278">
        <f>cleaned_data!L278</f>
        <v>3.4</v>
      </c>
      <c r="G278">
        <f>cleaned_data!K278</f>
        <v>1</v>
      </c>
      <c r="H278">
        <f>dummy_variables!F278</f>
        <v>0</v>
      </c>
      <c r="I278">
        <f>dummy_variables!G278</f>
        <v>1</v>
      </c>
      <c r="J278">
        <f>dummy_variables!H278</f>
        <v>0</v>
      </c>
      <c r="K278">
        <f>dummy_variables!I278</f>
        <v>0</v>
      </c>
      <c r="L278">
        <f>dummy_variables!J278</f>
        <v>0</v>
      </c>
      <c r="M278">
        <f>dummy_variables!K278</f>
        <v>0</v>
      </c>
    </row>
    <row r="279" spans="1:13">
      <c r="A279">
        <f>cleaned_data!M279</f>
        <v>738548.42</v>
      </c>
      <c r="B279">
        <f>cleaned_data!E279</f>
        <v>36832.33</v>
      </c>
      <c r="C279">
        <f>cleaned_data!F279</f>
        <v>8001</v>
      </c>
      <c r="D279">
        <f>cleaned_data!G279</f>
        <v>0</v>
      </c>
      <c r="E279">
        <f>cleaned_data!I279</f>
        <v>88.7</v>
      </c>
      <c r="F279">
        <f>cleaned_data!L279</f>
        <v>4</v>
      </c>
      <c r="G279">
        <f>cleaned_data!K279</f>
        <v>0</v>
      </c>
      <c r="H279">
        <f>dummy_variables!F279</f>
        <v>0</v>
      </c>
      <c r="I279">
        <f>dummy_variables!G279</f>
        <v>1</v>
      </c>
      <c r="J279">
        <f>dummy_variables!H279</f>
        <v>0</v>
      </c>
      <c r="K279">
        <f>dummy_variables!I279</f>
        <v>0</v>
      </c>
      <c r="L279">
        <f>dummy_variables!J279</f>
        <v>0</v>
      </c>
      <c r="M279">
        <f>dummy_variables!K279</f>
        <v>0</v>
      </c>
    </row>
    <row r="280" spans="1:13">
      <c r="A280">
        <f>cleaned_data!M280</f>
        <v>756619.77</v>
      </c>
      <c r="B280">
        <f>cleaned_data!E280</f>
        <v>48609.41</v>
      </c>
      <c r="C280">
        <f>cleaned_data!F280</f>
        <v>9324</v>
      </c>
      <c r="D280">
        <f>cleaned_data!G280</f>
        <v>0.21299999999999999</v>
      </c>
      <c r="E280">
        <f>cleaned_data!I280</f>
        <v>86.5</v>
      </c>
      <c r="F280">
        <f>cleaned_data!L280</f>
        <v>3.9</v>
      </c>
      <c r="G280">
        <f>cleaned_data!K280</f>
        <v>0</v>
      </c>
      <c r="H280">
        <f>dummy_variables!F280</f>
        <v>0</v>
      </c>
      <c r="I280">
        <f>dummy_variables!G280</f>
        <v>1</v>
      </c>
      <c r="J280">
        <f>dummy_variables!H280</f>
        <v>0</v>
      </c>
      <c r="K280">
        <f>dummy_variables!I280</f>
        <v>0</v>
      </c>
      <c r="L280">
        <f>dummy_variables!J280</f>
        <v>0</v>
      </c>
      <c r="M280">
        <f>dummy_variables!K280</f>
        <v>0</v>
      </c>
    </row>
    <row r="281" spans="1:13">
      <c r="A281">
        <f>cleaned_data!M281</f>
        <v>761122.42</v>
      </c>
      <c r="B281">
        <f>cleaned_data!E281</f>
        <v>70284.06</v>
      </c>
      <c r="C281">
        <f>cleaned_data!F281</f>
        <v>9109</v>
      </c>
      <c r="D281">
        <f>cleaned_data!G281</f>
        <v>4.0000000000000001E-3</v>
      </c>
      <c r="E281">
        <f>cleaned_data!I281</f>
        <v>87</v>
      </c>
      <c r="F281">
        <f>cleaned_data!L281</f>
        <v>3.7</v>
      </c>
      <c r="G281">
        <f>cleaned_data!K281</f>
        <v>0</v>
      </c>
      <c r="H281">
        <f>dummy_variables!F281</f>
        <v>0</v>
      </c>
      <c r="I281">
        <f>dummy_variables!G281</f>
        <v>1</v>
      </c>
      <c r="J281">
        <f>dummy_variables!H281</f>
        <v>0</v>
      </c>
      <c r="K281">
        <f>dummy_variables!I281</f>
        <v>0</v>
      </c>
      <c r="L281">
        <f>dummy_variables!J281</f>
        <v>0</v>
      </c>
      <c r="M281">
        <f>dummy_variables!K281</f>
        <v>0</v>
      </c>
    </row>
    <row r="282" spans="1:13">
      <c r="A282">
        <f>cleaned_data!M282</f>
        <v>524899.56999999995</v>
      </c>
      <c r="B282">
        <f>cleaned_data!E282</f>
        <v>45940.39</v>
      </c>
      <c r="C282">
        <f>cleaned_data!F282</f>
        <v>4022</v>
      </c>
      <c r="D282">
        <f>cleaned_data!G282</f>
        <v>6.9000000000000006E-2</v>
      </c>
      <c r="E282">
        <f>cleaned_data!I282</f>
        <v>83</v>
      </c>
      <c r="F282">
        <f>cleaned_data!L282</f>
        <v>3.8</v>
      </c>
      <c r="G282">
        <f>cleaned_data!K282</f>
        <v>1</v>
      </c>
      <c r="H282">
        <f>dummy_variables!F282</f>
        <v>0</v>
      </c>
      <c r="I282">
        <f>dummy_variables!G282</f>
        <v>1</v>
      </c>
      <c r="J282">
        <f>dummy_variables!H282</f>
        <v>0</v>
      </c>
      <c r="K282">
        <f>dummy_variables!I282</f>
        <v>0</v>
      </c>
      <c r="L282">
        <f>dummy_variables!J282</f>
        <v>1</v>
      </c>
      <c r="M282">
        <f>dummy_variables!K282</f>
        <v>0</v>
      </c>
    </row>
    <row r="283" spans="1:13">
      <c r="A283">
        <f>cleaned_data!M283</f>
        <v>555557.77</v>
      </c>
      <c r="B283">
        <f>cleaned_data!E283</f>
        <v>34771.26</v>
      </c>
      <c r="C283">
        <f>cleaned_data!F283</f>
        <v>4355</v>
      </c>
      <c r="D283">
        <f>cleaned_data!G283</f>
        <v>5.0999999999999997E-2</v>
      </c>
      <c r="E283">
        <f>cleaned_data!I283</f>
        <v>87.9</v>
      </c>
      <c r="F283">
        <f>cleaned_data!L283</f>
        <v>4</v>
      </c>
      <c r="G283">
        <f>cleaned_data!K283</f>
        <v>0</v>
      </c>
      <c r="H283">
        <f>dummy_variables!F283</f>
        <v>0</v>
      </c>
      <c r="I283">
        <f>dummy_variables!G283</f>
        <v>1</v>
      </c>
      <c r="J283">
        <f>dummy_variables!H283</f>
        <v>0</v>
      </c>
      <c r="K283">
        <f>dummy_variables!I283</f>
        <v>0</v>
      </c>
      <c r="L283">
        <f>dummy_variables!J283</f>
        <v>1</v>
      </c>
      <c r="M283">
        <f>dummy_variables!K283</f>
        <v>0</v>
      </c>
    </row>
    <row r="284" spans="1:13">
      <c r="A284">
        <f>cleaned_data!M284</f>
        <v>714083.68</v>
      </c>
      <c r="B284">
        <f>cleaned_data!E284</f>
        <v>66104.19</v>
      </c>
      <c r="C284">
        <f>cleaned_data!F284</f>
        <v>5745</v>
      </c>
      <c r="D284">
        <f>cleaned_data!G284</f>
        <v>7.0000000000000007E-2</v>
      </c>
      <c r="E284">
        <f>cleaned_data!I284</f>
        <v>95.8</v>
      </c>
      <c r="F284">
        <f>cleaned_data!L284</f>
        <v>4</v>
      </c>
      <c r="G284">
        <f>cleaned_data!K284</f>
        <v>0</v>
      </c>
      <c r="H284">
        <f>dummy_variables!F284</f>
        <v>0</v>
      </c>
      <c r="I284">
        <f>dummy_variables!G284</f>
        <v>1</v>
      </c>
      <c r="J284">
        <f>dummy_variables!H284</f>
        <v>0</v>
      </c>
      <c r="K284">
        <f>dummy_variables!I284</f>
        <v>0</v>
      </c>
      <c r="L284">
        <f>dummy_variables!J284</f>
        <v>1</v>
      </c>
      <c r="M284">
        <f>dummy_variables!K284</f>
        <v>0</v>
      </c>
    </row>
    <row r="285" spans="1:13">
      <c r="A285">
        <f>cleaned_data!M285</f>
        <v>497439.82</v>
      </c>
      <c r="B285">
        <f>cleaned_data!E285</f>
        <v>18599.21</v>
      </c>
      <c r="C285">
        <f>cleaned_data!F285</f>
        <v>3027</v>
      </c>
      <c r="D285">
        <f>cleaned_data!G285</f>
        <v>0.122</v>
      </c>
      <c r="E285">
        <f>cleaned_data!I285</f>
        <v>80.900000000000006</v>
      </c>
      <c r="F285">
        <f>cleaned_data!L285</f>
        <v>4.2</v>
      </c>
      <c r="G285">
        <f>cleaned_data!K285</f>
        <v>0</v>
      </c>
      <c r="H285">
        <f>dummy_variables!F285</f>
        <v>0</v>
      </c>
      <c r="I285">
        <f>dummy_variables!G285</f>
        <v>1</v>
      </c>
      <c r="J285">
        <f>dummy_variables!H285</f>
        <v>0</v>
      </c>
      <c r="K285">
        <f>dummy_variables!I285</f>
        <v>0</v>
      </c>
      <c r="L285">
        <f>dummy_variables!J285</f>
        <v>1</v>
      </c>
      <c r="M285">
        <f>dummy_variables!K285</f>
        <v>0</v>
      </c>
    </row>
    <row r="286" spans="1:13">
      <c r="A286">
        <f>cleaned_data!M286</f>
        <v>636775.66</v>
      </c>
      <c r="B286">
        <f>cleaned_data!E286</f>
        <v>60183.06</v>
      </c>
      <c r="C286">
        <f>cleaned_data!F286</f>
        <v>5562</v>
      </c>
      <c r="D286">
        <f>cleaned_data!G286</f>
        <v>8.9999999999999993E-3</v>
      </c>
      <c r="E286">
        <f>cleaned_data!I286</f>
        <v>86.3</v>
      </c>
      <c r="F286">
        <f>cleaned_data!L286</f>
        <v>4.5</v>
      </c>
      <c r="G286">
        <f>cleaned_data!K286</f>
        <v>1</v>
      </c>
      <c r="H286">
        <f>dummy_variables!F286</f>
        <v>0</v>
      </c>
      <c r="I286">
        <f>dummy_variables!G286</f>
        <v>0</v>
      </c>
      <c r="J286">
        <f>dummy_variables!H286</f>
        <v>1</v>
      </c>
      <c r="K286">
        <f>dummy_variables!I286</f>
        <v>0</v>
      </c>
      <c r="L286">
        <f>dummy_variables!J286</f>
        <v>0</v>
      </c>
      <c r="M286">
        <f>dummy_variables!K286</f>
        <v>0</v>
      </c>
    </row>
    <row r="287" spans="1:13">
      <c r="A287">
        <f>cleaned_data!M287</f>
        <v>633009.53</v>
      </c>
      <c r="B287">
        <f>cleaned_data!E287</f>
        <v>74539.14</v>
      </c>
      <c r="C287">
        <f>cleaned_data!F287</f>
        <v>4487</v>
      </c>
      <c r="D287">
        <f>cleaned_data!G287</f>
        <v>0.14000000000000001</v>
      </c>
      <c r="E287">
        <f>cleaned_data!I287</f>
        <v>90.4</v>
      </c>
      <c r="F287">
        <f>cleaned_data!L287</f>
        <v>4.5</v>
      </c>
      <c r="G287">
        <f>cleaned_data!K287</f>
        <v>0</v>
      </c>
      <c r="H287">
        <f>dummy_variables!F287</f>
        <v>0</v>
      </c>
      <c r="I287">
        <f>dummy_variables!G287</f>
        <v>0</v>
      </c>
      <c r="J287">
        <f>dummy_variables!H287</f>
        <v>1</v>
      </c>
      <c r="K287">
        <f>dummy_variables!I287</f>
        <v>0</v>
      </c>
      <c r="L287">
        <f>dummy_variables!J287</f>
        <v>0</v>
      </c>
      <c r="M287">
        <f>dummy_variables!K287</f>
        <v>0</v>
      </c>
    </row>
    <row r="288" spans="1:13">
      <c r="A288">
        <f>cleaned_data!M288</f>
        <v>609949</v>
      </c>
      <c r="B288">
        <f>cleaned_data!E288</f>
        <v>55371.97</v>
      </c>
      <c r="C288">
        <f>cleaned_data!F288</f>
        <v>4162</v>
      </c>
      <c r="D288">
        <f>cleaned_data!G288</f>
        <v>0.183</v>
      </c>
      <c r="E288">
        <f>cleaned_data!I288</f>
        <v>92</v>
      </c>
      <c r="F288">
        <f>cleaned_data!L288</f>
        <v>4.2</v>
      </c>
      <c r="G288">
        <f>cleaned_data!K288</f>
        <v>1</v>
      </c>
      <c r="H288">
        <f>dummy_variables!F288</f>
        <v>0</v>
      </c>
      <c r="I288">
        <f>dummy_variables!G288</f>
        <v>0</v>
      </c>
      <c r="J288">
        <f>dummy_variables!H288</f>
        <v>1</v>
      </c>
      <c r="K288">
        <f>dummy_variables!I288</f>
        <v>0</v>
      </c>
      <c r="L288">
        <f>dummy_variables!J288</f>
        <v>0</v>
      </c>
      <c r="M288">
        <f>dummy_variables!K288</f>
        <v>0</v>
      </c>
    </row>
    <row r="289" spans="1:13">
      <c r="A289">
        <f>cleaned_data!M289</f>
        <v>548103.69999999995</v>
      </c>
      <c r="B289">
        <f>cleaned_data!E289</f>
        <v>40928.69</v>
      </c>
      <c r="C289">
        <f>cleaned_data!F289</f>
        <v>4094</v>
      </c>
      <c r="D289">
        <f>cleaned_data!G289</f>
        <v>0.17399999999999999</v>
      </c>
      <c r="E289">
        <f>cleaned_data!I289</f>
        <v>82.4</v>
      </c>
      <c r="F289">
        <f>cleaned_data!L289</f>
        <v>4.8</v>
      </c>
      <c r="G289">
        <f>cleaned_data!K289</f>
        <v>0</v>
      </c>
      <c r="H289">
        <f>dummy_variables!F289</f>
        <v>0</v>
      </c>
      <c r="I289">
        <f>dummy_variables!G289</f>
        <v>0</v>
      </c>
      <c r="J289">
        <f>dummy_variables!H289</f>
        <v>1</v>
      </c>
      <c r="K289">
        <f>dummy_variables!I289</f>
        <v>0</v>
      </c>
      <c r="L289">
        <f>dummy_variables!J289</f>
        <v>0</v>
      </c>
      <c r="M289">
        <f>dummy_variables!K289</f>
        <v>0</v>
      </c>
    </row>
    <row r="290" spans="1:13">
      <c r="A290">
        <f>cleaned_data!M290</f>
        <v>729424.42</v>
      </c>
      <c r="B290">
        <f>cleaned_data!E290</f>
        <v>70012.41</v>
      </c>
      <c r="C290">
        <f>cleaned_data!F290</f>
        <v>8484</v>
      </c>
      <c r="D290">
        <f>cleaned_data!G290</f>
        <v>0.27300000000000002</v>
      </c>
      <c r="E290">
        <f>cleaned_data!I290</f>
        <v>72.900000000000006</v>
      </c>
      <c r="F290">
        <f>cleaned_data!L290</f>
        <v>3.7</v>
      </c>
      <c r="G290">
        <f>cleaned_data!K290</f>
        <v>0</v>
      </c>
      <c r="H290">
        <f>dummy_variables!F290</f>
        <v>0</v>
      </c>
      <c r="I290">
        <f>dummy_variables!G290</f>
        <v>0</v>
      </c>
      <c r="J290">
        <f>dummy_variables!H290</f>
        <v>0</v>
      </c>
      <c r="K290">
        <f>dummy_variables!I290</f>
        <v>0</v>
      </c>
      <c r="L290">
        <f>dummy_variables!J290</f>
        <v>0</v>
      </c>
      <c r="M290">
        <f>dummy_variables!K290</f>
        <v>0</v>
      </c>
    </row>
    <row r="291" spans="1:13">
      <c r="A291">
        <f>cleaned_data!M291</f>
        <v>696261.49</v>
      </c>
      <c r="B291">
        <f>cleaned_data!E291</f>
        <v>68909.259999999995</v>
      </c>
      <c r="C291">
        <f>cleaned_data!F291</f>
        <v>7794</v>
      </c>
      <c r="D291">
        <f>cleaned_data!G291</f>
        <v>0.28399999999999997</v>
      </c>
      <c r="E291">
        <f>cleaned_data!I291</f>
        <v>89</v>
      </c>
      <c r="F291">
        <f>cleaned_data!L291</f>
        <v>4</v>
      </c>
      <c r="G291">
        <f>cleaned_data!K291</f>
        <v>0</v>
      </c>
      <c r="H291">
        <f>dummy_variables!F291</f>
        <v>0</v>
      </c>
      <c r="I291">
        <f>dummy_variables!G291</f>
        <v>0</v>
      </c>
      <c r="J291">
        <f>dummy_variables!H291</f>
        <v>0</v>
      </c>
      <c r="K291">
        <f>dummy_variables!I291</f>
        <v>0</v>
      </c>
      <c r="L291">
        <f>dummy_variables!J291</f>
        <v>0</v>
      </c>
      <c r="M291">
        <f>dummy_variables!K291</f>
        <v>0</v>
      </c>
    </row>
    <row r="292" spans="1:13">
      <c r="A292">
        <f>cleaned_data!M292</f>
        <v>813316.71</v>
      </c>
      <c r="B292">
        <f>cleaned_data!E292</f>
        <v>56737.3</v>
      </c>
      <c r="C292">
        <f>cleaned_data!F292</f>
        <v>8300</v>
      </c>
      <c r="D292">
        <f>cleaned_data!G292</f>
        <v>3.2000000000000001E-2</v>
      </c>
      <c r="E292">
        <f>cleaned_data!I292</f>
        <v>83.2</v>
      </c>
      <c r="F292">
        <f>cleaned_data!L292</f>
        <v>4.3</v>
      </c>
      <c r="G292">
        <f>cleaned_data!K292</f>
        <v>1</v>
      </c>
      <c r="H292">
        <f>dummy_variables!F292</f>
        <v>0</v>
      </c>
      <c r="I292">
        <f>dummy_variables!G292</f>
        <v>0</v>
      </c>
      <c r="J292">
        <f>dummy_variables!H292</f>
        <v>0</v>
      </c>
      <c r="K292">
        <f>dummy_variables!I292</f>
        <v>0</v>
      </c>
      <c r="L292">
        <f>dummy_variables!J292</f>
        <v>0</v>
      </c>
      <c r="M292">
        <f>dummy_variables!K292</f>
        <v>0</v>
      </c>
    </row>
    <row r="293" spans="1:13">
      <c r="A293">
        <f>cleaned_data!M293</f>
        <v>702068.92</v>
      </c>
      <c r="B293">
        <f>cleaned_data!E293</f>
        <v>54080.91</v>
      </c>
      <c r="C293">
        <f>cleaned_data!F293</f>
        <v>7083</v>
      </c>
      <c r="D293">
        <f>cleaned_data!G293</f>
        <v>0</v>
      </c>
      <c r="E293">
        <f>cleaned_data!I293</f>
        <v>97</v>
      </c>
      <c r="F293">
        <f>cleaned_data!L293</f>
        <v>4.0999999999999996</v>
      </c>
      <c r="G293">
        <f>cleaned_data!K293</f>
        <v>0</v>
      </c>
      <c r="H293">
        <f>dummy_variables!F293</f>
        <v>0</v>
      </c>
      <c r="I293">
        <f>dummy_variables!G293</f>
        <v>0</v>
      </c>
      <c r="J293">
        <f>dummy_variables!H293</f>
        <v>0</v>
      </c>
      <c r="K293">
        <f>dummy_variables!I293</f>
        <v>0</v>
      </c>
      <c r="L293">
        <f>dummy_variables!J293</f>
        <v>0</v>
      </c>
      <c r="M293">
        <f>dummy_variables!K293</f>
        <v>0</v>
      </c>
    </row>
    <row r="294" spans="1:13">
      <c r="A294">
        <f>cleaned_data!M294</f>
        <v>546223.69999999995</v>
      </c>
      <c r="B294">
        <f>cleaned_data!E294</f>
        <v>51996.32</v>
      </c>
      <c r="C294">
        <f>cleaned_data!F294</f>
        <v>3834</v>
      </c>
      <c r="D294">
        <f>cleaned_data!G294</f>
        <v>9.6000000000000002E-2</v>
      </c>
      <c r="E294">
        <f>cleaned_data!I294</f>
        <v>86.7</v>
      </c>
      <c r="F294">
        <f>cleaned_data!L294</f>
        <v>4.5</v>
      </c>
      <c r="G294">
        <f>cleaned_data!K294</f>
        <v>0</v>
      </c>
      <c r="H294">
        <f>dummy_variables!F294</f>
        <v>0</v>
      </c>
      <c r="I294">
        <f>dummy_variables!G294</f>
        <v>0</v>
      </c>
      <c r="J294">
        <f>dummy_variables!H294</f>
        <v>1</v>
      </c>
      <c r="K294">
        <f>dummy_variables!I294</f>
        <v>0</v>
      </c>
      <c r="L294">
        <f>dummy_variables!J294</f>
        <v>1</v>
      </c>
      <c r="M294">
        <f>dummy_variables!K294</f>
        <v>0</v>
      </c>
    </row>
    <row r="295" spans="1:13">
      <c r="A295">
        <f>cleaned_data!M295</f>
        <v>533121.26</v>
      </c>
      <c r="B295">
        <f>cleaned_data!E295</f>
        <v>40102.879999999997</v>
      </c>
      <c r="C295">
        <f>cleaned_data!F295</f>
        <v>2358</v>
      </c>
      <c r="D295">
        <f>cleaned_data!G295</f>
        <v>0.11899999999999999</v>
      </c>
      <c r="E295">
        <f>cleaned_data!I295</f>
        <v>88.7</v>
      </c>
      <c r="F295">
        <f>cleaned_data!L295</f>
        <v>4.2</v>
      </c>
      <c r="G295">
        <f>cleaned_data!K295</f>
        <v>0</v>
      </c>
      <c r="H295">
        <f>dummy_variables!F295</f>
        <v>0</v>
      </c>
      <c r="I295">
        <f>dummy_variables!G295</f>
        <v>0</v>
      </c>
      <c r="J295">
        <f>dummy_variables!H295</f>
        <v>1</v>
      </c>
      <c r="K295">
        <f>dummy_variables!I295</f>
        <v>0</v>
      </c>
      <c r="L295">
        <f>dummy_variables!J295</f>
        <v>1</v>
      </c>
      <c r="M295">
        <f>dummy_variables!K295</f>
        <v>0</v>
      </c>
    </row>
    <row r="296" spans="1:13">
      <c r="A296">
        <f>cleaned_data!M296</f>
        <v>498970.32</v>
      </c>
      <c r="B296">
        <f>cleaned_data!E296</f>
        <v>59825.51</v>
      </c>
      <c r="C296">
        <f>cleaned_data!F296</f>
        <v>1231</v>
      </c>
      <c r="D296">
        <f>cleaned_data!G296</f>
        <v>0.214</v>
      </c>
      <c r="E296">
        <f>cleaned_data!I296</f>
        <v>84.8</v>
      </c>
      <c r="F296">
        <f>cleaned_data!L296</f>
        <v>4.7</v>
      </c>
      <c r="G296">
        <f>cleaned_data!K296</f>
        <v>0</v>
      </c>
      <c r="H296">
        <f>dummy_variables!F296</f>
        <v>0</v>
      </c>
      <c r="I296">
        <f>dummy_variables!G296</f>
        <v>0</v>
      </c>
      <c r="J296">
        <f>dummy_variables!H296</f>
        <v>1</v>
      </c>
      <c r="K296">
        <f>dummy_variables!I296</f>
        <v>0</v>
      </c>
      <c r="L296">
        <f>dummy_variables!J296</f>
        <v>1</v>
      </c>
      <c r="M296">
        <f>dummy_variables!K296</f>
        <v>0</v>
      </c>
    </row>
    <row r="297" spans="1:13">
      <c r="A297">
        <f>cleaned_data!M297</f>
        <v>487738.26</v>
      </c>
      <c r="B297">
        <f>cleaned_data!E297</f>
        <v>27398.28</v>
      </c>
      <c r="C297">
        <f>cleaned_data!F297</f>
        <v>1723</v>
      </c>
      <c r="D297">
        <f>cleaned_data!G297</f>
        <v>0.17100000000000001</v>
      </c>
      <c r="E297">
        <f>cleaned_data!I297</f>
        <v>81</v>
      </c>
      <c r="F297">
        <f>cleaned_data!L297</f>
        <v>4.5999999999999996</v>
      </c>
      <c r="G297">
        <f>cleaned_data!K297</f>
        <v>0</v>
      </c>
      <c r="H297">
        <f>dummy_variables!F297</f>
        <v>0</v>
      </c>
      <c r="I297">
        <f>dummy_variables!G297</f>
        <v>0</v>
      </c>
      <c r="J297">
        <f>dummy_variables!H297</f>
        <v>1</v>
      </c>
      <c r="K297">
        <f>dummy_variables!I297</f>
        <v>0</v>
      </c>
      <c r="L297">
        <f>dummy_variables!J297</f>
        <v>1</v>
      </c>
      <c r="M297">
        <f>dummy_variables!K297</f>
        <v>0</v>
      </c>
    </row>
    <row r="298" spans="1:13">
      <c r="A298">
        <f>cleaned_data!M298</f>
        <v>668459.37</v>
      </c>
      <c r="B298">
        <f>cleaned_data!E298</f>
        <v>55599.56</v>
      </c>
      <c r="C298">
        <f>cleaned_data!F298</f>
        <v>5896</v>
      </c>
      <c r="D298">
        <f>cleaned_data!G298</f>
        <v>3.5999999999999997E-2</v>
      </c>
      <c r="E298">
        <f>cleaned_data!I298</f>
        <v>93.1</v>
      </c>
      <c r="F298">
        <f>cleaned_data!L298</f>
        <v>3.3</v>
      </c>
      <c r="G298">
        <f>cleaned_data!K298</f>
        <v>0</v>
      </c>
      <c r="H298">
        <f>dummy_variables!F298</f>
        <v>0</v>
      </c>
      <c r="I298">
        <f>dummy_variables!G298</f>
        <v>0</v>
      </c>
      <c r="J298">
        <f>dummy_variables!H298</f>
        <v>1</v>
      </c>
      <c r="K298">
        <f>dummy_variables!I298</f>
        <v>0</v>
      </c>
      <c r="L298">
        <f>dummy_variables!J298</f>
        <v>1</v>
      </c>
      <c r="M298">
        <f>dummy_variables!K298</f>
        <v>0</v>
      </c>
    </row>
    <row r="299" spans="1:13">
      <c r="A299">
        <f>cleaned_data!M299</f>
        <v>763162.45</v>
      </c>
      <c r="B299">
        <f>cleaned_data!E299</f>
        <v>55477.61</v>
      </c>
      <c r="C299">
        <f>cleaned_data!F299</f>
        <v>5903</v>
      </c>
      <c r="D299">
        <f>cleaned_data!G299</f>
        <v>0.10199999999999999</v>
      </c>
      <c r="E299">
        <f>cleaned_data!I299</f>
        <v>96.2</v>
      </c>
      <c r="F299">
        <f>cleaned_data!L299</f>
        <v>3.3</v>
      </c>
      <c r="G299">
        <f>cleaned_data!K299</f>
        <v>0</v>
      </c>
      <c r="H299">
        <f>dummy_variables!F299</f>
        <v>0</v>
      </c>
      <c r="I299">
        <f>dummy_variables!G299</f>
        <v>0</v>
      </c>
      <c r="J299">
        <f>dummy_variables!H299</f>
        <v>1</v>
      </c>
      <c r="K299">
        <f>dummy_variables!I299</f>
        <v>0</v>
      </c>
      <c r="L299">
        <f>dummy_variables!J299</f>
        <v>1</v>
      </c>
      <c r="M299">
        <f>dummy_variables!K299</f>
        <v>0</v>
      </c>
    </row>
    <row r="300" spans="1:13">
      <c r="A300">
        <f>cleaned_data!M300</f>
        <v>599017.32999999996</v>
      </c>
      <c r="B300">
        <f>cleaned_data!E300</f>
        <v>46174.7</v>
      </c>
      <c r="C300">
        <f>cleaned_data!F300</f>
        <v>4898</v>
      </c>
      <c r="D300">
        <f>cleaned_data!G300</f>
        <v>0.114</v>
      </c>
      <c r="E300">
        <f>cleaned_data!I300</f>
        <v>91.7</v>
      </c>
      <c r="F300">
        <f>cleaned_data!L300</f>
        <v>3.1</v>
      </c>
      <c r="G300">
        <f>cleaned_data!K300</f>
        <v>0</v>
      </c>
      <c r="H300">
        <f>dummy_variables!F300</f>
        <v>0</v>
      </c>
      <c r="I300">
        <f>dummy_variables!G300</f>
        <v>0</v>
      </c>
      <c r="J300">
        <f>dummy_variables!H300</f>
        <v>1</v>
      </c>
      <c r="K300">
        <f>dummy_variables!I300</f>
        <v>0</v>
      </c>
      <c r="L300">
        <f>dummy_variables!J300</f>
        <v>1</v>
      </c>
      <c r="M300">
        <f>dummy_variables!K300</f>
        <v>0</v>
      </c>
    </row>
    <row r="301" spans="1:13">
      <c r="A301">
        <f>cleaned_data!M301</f>
        <v>401582.58</v>
      </c>
      <c r="B301">
        <f>cleaned_data!E301</f>
        <v>24362.98</v>
      </c>
      <c r="C301">
        <f>cleaned_data!F301</f>
        <v>1462</v>
      </c>
      <c r="D301">
        <f>cleaned_data!G301</f>
        <v>0.11700000000000001</v>
      </c>
      <c r="E301">
        <f>cleaned_data!I301</f>
        <v>89.3</v>
      </c>
      <c r="F301">
        <f>cleaned_data!L301</f>
        <v>3.2</v>
      </c>
      <c r="G301">
        <f>cleaned_data!K301</f>
        <v>0</v>
      </c>
      <c r="H301">
        <f>dummy_variables!F301</f>
        <v>0</v>
      </c>
      <c r="I301">
        <f>dummy_variables!G301</f>
        <v>0</v>
      </c>
      <c r="J301">
        <f>dummy_variables!H301</f>
        <v>1</v>
      </c>
      <c r="K301">
        <f>dummy_variables!I301</f>
        <v>0</v>
      </c>
      <c r="L301">
        <f>dummy_variables!J301</f>
        <v>1</v>
      </c>
      <c r="M301">
        <f>dummy_variables!K301</f>
        <v>0</v>
      </c>
    </row>
    <row r="302" spans="1:13">
      <c r="A302">
        <f>cleaned_data!M302</f>
        <v>703812.99</v>
      </c>
      <c r="B302">
        <f>cleaned_data!E302</f>
        <v>40647.67</v>
      </c>
      <c r="C302">
        <f>cleaned_data!F302</f>
        <v>8252</v>
      </c>
      <c r="D302">
        <f>cleaned_data!G302</f>
        <v>0.14099999999999999</v>
      </c>
      <c r="E302">
        <f>cleaned_data!I302</f>
        <v>88.2</v>
      </c>
      <c r="F302">
        <f>cleaned_data!L302</f>
        <v>4.0999999999999996</v>
      </c>
      <c r="G302">
        <f>cleaned_data!K302</f>
        <v>1</v>
      </c>
      <c r="H302">
        <f>dummy_variables!F302</f>
        <v>1</v>
      </c>
      <c r="I302">
        <f>dummy_variables!G302</f>
        <v>0</v>
      </c>
      <c r="J302">
        <f>dummy_variables!H302</f>
        <v>0</v>
      </c>
      <c r="K302">
        <f>dummy_variables!I302</f>
        <v>0</v>
      </c>
      <c r="L302">
        <f>dummy_variables!J302</f>
        <v>0</v>
      </c>
      <c r="M302">
        <f>dummy_variables!K302</f>
        <v>1</v>
      </c>
    </row>
    <row r="303" spans="1:13">
      <c r="A303">
        <f>cleaned_data!M303</f>
        <v>724346.73</v>
      </c>
      <c r="B303">
        <f>cleaned_data!E303</f>
        <v>63986.98</v>
      </c>
      <c r="C303">
        <f>cleaned_data!F303</f>
        <v>7989</v>
      </c>
      <c r="D303">
        <f>cleaned_data!G303</f>
        <v>7.3999999999999996E-2</v>
      </c>
      <c r="E303">
        <f>cleaned_data!I303</f>
        <v>83.3</v>
      </c>
      <c r="F303">
        <f>cleaned_data!L303</f>
        <v>3.7</v>
      </c>
      <c r="G303">
        <f>cleaned_data!K303</f>
        <v>0</v>
      </c>
      <c r="H303">
        <f>dummy_variables!F303</f>
        <v>1</v>
      </c>
      <c r="I303">
        <f>dummy_variables!G303</f>
        <v>0</v>
      </c>
      <c r="J303">
        <f>dummy_variables!H303</f>
        <v>0</v>
      </c>
      <c r="K303">
        <f>dummy_variables!I303</f>
        <v>0</v>
      </c>
      <c r="L303">
        <f>dummy_variables!J303</f>
        <v>0</v>
      </c>
      <c r="M303">
        <f>dummy_variables!K303</f>
        <v>1</v>
      </c>
    </row>
    <row r="304" spans="1:13">
      <c r="A304">
        <f>cleaned_data!M304</f>
        <v>730890.01</v>
      </c>
      <c r="B304">
        <f>cleaned_data!E304</f>
        <v>52843.75</v>
      </c>
      <c r="C304">
        <f>cleaned_data!F304</f>
        <v>8268</v>
      </c>
      <c r="D304">
        <f>cleaned_data!G304</f>
        <v>0.13800000000000001</v>
      </c>
      <c r="E304">
        <f>cleaned_data!I304</f>
        <v>87.3</v>
      </c>
      <c r="F304">
        <f>cleaned_data!L304</f>
        <v>4.7</v>
      </c>
      <c r="G304">
        <f>cleaned_data!K304</f>
        <v>1</v>
      </c>
      <c r="H304">
        <f>dummy_variables!F304</f>
        <v>1</v>
      </c>
      <c r="I304">
        <f>dummy_variables!G304</f>
        <v>0</v>
      </c>
      <c r="J304">
        <f>dummy_variables!H304</f>
        <v>0</v>
      </c>
      <c r="K304">
        <f>dummy_variables!I304</f>
        <v>0</v>
      </c>
      <c r="L304">
        <f>dummy_variables!J304</f>
        <v>0</v>
      </c>
      <c r="M304">
        <f>dummy_variables!K304</f>
        <v>1</v>
      </c>
    </row>
    <row r="305" spans="1:13">
      <c r="A305">
        <f>cleaned_data!M305</f>
        <v>780580.95</v>
      </c>
      <c r="B305">
        <f>cleaned_data!E305</f>
        <v>31997.25</v>
      </c>
      <c r="C305">
        <f>cleaned_data!F305</f>
        <v>8183</v>
      </c>
      <c r="D305">
        <f>cleaned_data!G305</f>
        <v>0.19800000000000001</v>
      </c>
      <c r="E305">
        <f>cleaned_data!I305</f>
        <v>93</v>
      </c>
      <c r="F305">
        <f>cleaned_data!L305</f>
        <v>4.2</v>
      </c>
      <c r="G305">
        <f>cleaned_data!K305</f>
        <v>0</v>
      </c>
      <c r="H305">
        <f>dummy_variables!F305</f>
        <v>1</v>
      </c>
      <c r="I305">
        <f>dummy_variables!G305</f>
        <v>0</v>
      </c>
      <c r="J305">
        <f>dummy_variables!H305</f>
        <v>0</v>
      </c>
      <c r="K305">
        <f>dummy_variables!I305</f>
        <v>0</v>
      </c>
      <c r="L305">
        <f>dummy_variables!J305</f>
        <v>0</v>
      </c>
      <c r="M305">
        <f>dummy_variables!K305</f>
        <v>1</v>
      </c>
    </row>
    <row r="306" spans="1:13">
      <c r="A306">
        <f>cleaned_data!M306</f>
        <v>727957.48</v>
      </c>
      <c r="B306">
        <f>cleaned_data!E306</f>
        <v>54948.02</v>
      </c>
      <c r="C306">
        <f>cleaned_data!F306</f>
        <v>6534</v>
      </c>
      <c r="D306">
        <f>cleaned_data!G306</f>
        <v>0.183</v>
      </c>
      <c r="E306">
        <f>cleaned_data!I306</f>
        <v>94.5</v>
      </c>
      <c r="F306">
        <f>cleaned_data!L306</f>
        <v>4</v>
      </c>
      <c r="G306">
        <f>cleaned_data!K306</f>
        <v>0</v>
      </c>
      <c r="H306">
        <f>dummy_variables!F306</f>
        <v>0</v>
      </c>
      <c r="I306">
        <f>dummy_variables!G306</f>
        <v>1</v>
      </c>
      <c r="J306">
        <f>dummy_variables!H306</f>
        <v>0</v>
      </c>
      <c r="K306">
        <f>dummy_variables!I306</f>
        <v>0</v>
      </c>
      <c r="L306">
        <f>dummy_variables!J306</f>
        <v>0</v>
      </c>
      <c r="M306">
        <f>dummy_variables!K306</f>
        <v>0</v>
      </c>
    </row>
    <row r="307" spans="1:13">
      <c r="A307">
        <f>cleaned_data!M307</f>
        <v>538376</v>
      </c>
      <c r="B307">
        <f>cleaned_data!E307</f>
        <v>46146.239999999998</v>
      </c>
      <c r="C307">
        <f>cleaned_data!F307</f>
        <v>5804</v>
      </c>
      <c r="D307">
        <f>cleaned_data!G307</f>
        <v>4.7E-2</v>
      </c>
      <c r="E307">
        <f>cleaned_data!I307</f>
        <v>86.9</v>
      </c>
      <c r="F307">
        <f>cleaned_data!L307</f>
        <v>3.8</v>
      </c>
      <c r="G307">
        <f>cleaned_data!K307</f>
        <v>0</v>
      </c>
      <c r="H307">
        <f>dummy_variables!F307</f>
        <v>0</v>
      </c>
      <c r="I307">
        <f>dummy_variables!G307</f>
        <v>1</v>
      </c>
      <c r="J307">
        <f>dummy_variables!H307</f>
        <v>0</v>
      </c>
      <c r="K307">
        <f>dummy_variables!I307</f>
        <v>0</v>
      </c>
      <c r="L307">
        <f>dummy_variables!J307</f>
        <v>0</v>
      </c>
      <c r="M307">
        <f>dummy_variables!K307</f>
        <v>0</v>
      </c>
    </row>
    <row r="308" spans="1:13">
      <c r="A308">
        <f>cleaned_data!M308</f>
        <v>665342.49</v>
      </c>
      <c r="B308">
        <f>cleaned_data!E308</f>
        <v>22387.26</v>
      </c>
      <c r="C308">
        <f>cleaned_data!F308</f>
        <v>6301</v>
      </c>
      <c r="D308">
        <f>cleaned_data!G308</f>
        <v>0.14599999999999999</v>
      </c>
      <c r="E308">
        <f>cleaned_data!I308</f>
        <v>85.9</v>
      </c>
      <c r="F308">
        <f>cleaned_data!L308</f>
        <v>3.7</v>
      </c>
      <c r="G308">
        <f>cleaned_data!K308</f>
        <v>1</v>
      </c>
      <c r="H308">
        <f>dummy_variables!F308</f>
        <v>0</v>
      </c>
      <c r="I308">
        <f>dummy_variables!G308</f>
        <v>1</v>
      </c>
      <c r="J308">
        <f>dummy_variables!H308</f>
        <v>0</v>
      </c>
      <c r="K308">
        <f>dummy_variables!I308</f>
        <v>0</v>
      </c>
      <c r="L308">
        <f>dummy_variables!J308</f>
        <v>0</v>
      </c>
      <c r="M308">
        <f>dummy_variables!K308</f>
        <v>0</v>
      </c>
    </row>
    <row r="309" spans="1:13">
      <c r="A309">
        <f>cleaned_data!M309</f>
        <v>651164.18000000005</v>
      </c>
      <c r="B309">
        <f>cleaned_data!E309</f>
        <v>60684.05</v>
      </c>
      <c r="C309">
        <f>cleaned_data!F309</f>
        <v>6399</v>
      </c>
      <c r="D309">
        <f>cleaned_data!G309</f>
        <v>7.4999999999999997E-2</v>
      </c>
      <c r="E309">
        <f>cleaned_data!I309</f>
        <v>99</v>
      </c>
      <c r="F309">
        <f>cleaned_data!L309</f>
        <v>3.5</v>
      </c>
      <c r="G309">
        <f>cleaned_data!K309</f>
        <v>0</v>
      </c>
      <c r="H309">
        <f>dummy_variables!F309</f>
        <v>0</v>
      </c>
      <c r="I309">
        <f>dummy_variables!G309</f>
        <v>1</v>
      </c>
      <c r="J309">
        <f>dummy_variables!H309</f>
        <v>0</v>
      </c>
      <c r="K309">
        <f>dummy_variables!I309</f>
        <v>0</v>
      </c>
      <c r="L309">
        <f>dummy_variables!J309</f>
        <v>0</v>
      </c>
      <c r="M309">
        <f>dummy_variables!K309</f>
        <v>0</v>
      </c>
    </row>
    <row r="310" spans="1:13">
      <c r="A310">
        <f>cleaned_data!M310</f>
        <v>628538.30000000005</v>
      </c>
      <c r="B310">
        <f>cleaned_data!E310</f>
        <v>48465.599999999999</v>
      </c>
      <c r="C310">
        <f>cleaned_data!F310</f>
        <v>5759</v>
      </c>
      <c r="D310">
        <f>cleaned_data!G310</f>
        <v>0.154</v>
      </c>
      <c r="E310">
        <f>cleaned_data!I310</f>
        <v>87.5</v>
      </c>
      <c r="F310">
        <f>cleaned_data!L310</f>
        <v>4</v>
      </c>
      <c r="G310">
        <f>cleaned_data!K310</f>
        <v>0</v>
      </c>
      <c r="H310">
        <f>dummy_variables!F310</f>
        <v>0</v>
      </c>
      <c r="I310">
        <f>dummy_variables!G310</f>
        <v>1</v>
      </c>
      <c r="J310">
        <f>dummy_variables!H310</f>
        <v>0</v>
      </c>
      <c r="K310">
        <f>dummy_variables!I310</f>
        <v>0</v>
      </c>
      <c r="L310">
        <f>dummy_variables!J310</f>
        <v>1</v>
      </c>
      <c r="M310">
        <f>dummy_variables!K310</f>
        <v>0</v>
      </c>
    </row>
    <row r="311" spans="1:13">
      <c r="A311">
        <f>cleaned_data!M311</f>
        <v>536524.84</v>
      </c>
      <c r="B311">
        <f>cleaned_data!E311</f>
        <v>23702.38</v>
      </c>
      <c r="C311">
        <f>cleaned_data!F311</f>
        <v>5285</v>
      </c>
      <c r="D311">
        <f>cleaned_data!G311</f>
        <v>0.16700000000000001</v>
      </c>
      <c r="E311">
        <f>cleaned_data!I311</f>
        <v>79.7</v>
      </c>
      <c r="F311">
        <f>cleaned_data!L311</f>
        <v>4.3</v>
      </c>
      <c r="G311">
        <f>cleaned_data!K311</f>
        <v>0</v>
      </c>
      <c r="H311">
        <f>dummy_variables!F311</f>
        <v>0</v>
      </c>
      <c r="I311">
        <f>dummy_variables!G311</f>
        <v>1</v>
      </c>
      <c r="J311">
        <f>dummy_variables!H311</f>
        <v>0</v>
      </c>
      <c r="K311">
        <f>dummy_variables!I311</f>
        <v>0</v>
      </c>
      <c r="L311">
        <f>dummy_variables!J311</f>
        <v>1</v>
      </c>
      <c r="M311">
        <f>dummy_variables!K311</f>
        <v>0</v>
      </c>
    </row>
    <row r="312" spans="1:13">
      <c r="A312">
        <f>cleaned_data!M312</f>
        <v>621677.30000000005</v>
      </c>
      <c r="B312">
        <f>cleaned_data!E312</f>
        <v>54322.94</v>
      </c>
      <c r="C312">
        <f>cleaned_data!F312</f>
        <v>5434</v>
      </c>
      <c r="D312">
        <f>cleaned_data!G312</f>
        <v>0.2</v>
      </c>
      <c r="E312">
        <f>cleaned_data!I312</f>
        <v>85.7</v>
      </c>
      <c r="F312">
        <f>cleaned_data!L312</f>
        <v>4.2</v>
      </c>
      <c r="G312">
        <f>cleaned_data!K312</f>
        <v>0</v>
      </c>
      <c r="H312">
        <f>dummy_variables!F312</f>
        <v>0</v>
      </c>
      <c r="I312">
        <f>dummy_variables!G312</f>
        <v>1</v>
      </c>
      <c r="J312">
        <f>dummy_variables!H312</f>
        <v>0</v>
      </c>
      <c r="K312">
        <f>dummy_variables!I312</f>
        <v>0</v>
      </c>
      <c r="L312">
        <f>dummy_variables!J312</f>
        <v>1</v>
      </c>
      <c r="M312">
        <f>dummy_variables!K312</f>
        <v>0</v>
      </c>
    </row>
    <row r="313" spans="1:13">
      <c r="A313">
        <f>cleaned_data!M313</f>
        <v>771129.07</v>
      </c>
      <c r="B313">
        <f>cleaned_data!E313</f>
        <v>86026.58</v>
      </c>
      <c r="C313">
        <f>cleaned_data!F313</f>
        <v>7479</v>
      </c>
      <c r="D313">
        <f>cleaned_data!G313</f>
        <v>0.14199999999999999</v>
      </c>
      <c r="E313">
        <f>cleaned_data!I313</f>
        <v>89</v>
      </c>
      <c r="F313">
        <f>cleaned_data!L313</f>
        <v>3.9</v>
      </c>
      <c r="G313">
        <f>cleaned_data!K313</f>
        <v>0</v>
      </c>
      <c r="H313">
        <f>dummy_variables!F313</f>
        <v>0</v>
      </c>
      <c r="I313">
        <f>dummy_variables!G313</f>
        <v>1</v>
      </c>
      <c r="J313">
        <f>dummy_variables!H313</f>
        <v>0</v>
      </c>
      <c r="K313">
        <f>dummy_variables!I313</f>
        <v>0</v>
      </c>
      <c r="L313">
        <f>dummy_variables!J313</f>
        <v>1</v>
      </c>
      <c r="M313">
        <f>dummy_variables!K313</f>
        <v>0</v>
      </c>
    </row>
    <row r="314" spans="1:13">
      <c r="A314">
        <f>cleaned_data!M314</f>
        <v>702052.47</v>
      </c>
      <c r="B314">
        <f>cleaned_data!E314</f>
        <v>78967.520000000004</v>
      </c>
      <c r="C314">
        <f>cleaned_data!F314</f>
        <v>6164</v>
      </c>
      <c r="D314">
        <f>cleaned_data!G314</f>
        <v>2.1000000000000001E-2</v>
      </c>
      <c r="E314">
        <f>cleaned_data!I314</f>
        <v>85.5</v>
      </c>
      <c r="F314">
        <f>cleaned_data!L314</f>
        <v>3.4</v>
      </c>
      <c r="G314">
        <f>cleaned_data!K314</f>
        <v>0</v>
      </c>
      <c r="H314">
        <f>dummy_variables!F314</f>
        <v>1</v>
      </c>
      <c r="I314">
        <f>dummy_variables!G314</f>
        <v>0</v>
      </c>
      <c r="J314">
        <f>dummy_variables!H314</f>
        <v>0</v>
      </c>
      <c r="K314">
        <f>dummy_variables!I314</f>
        <v>0</v>
      </c>
      <c r="L314">
        <f>dummy_variables!J314</f>
        <v>0</v>
      </c>
      <c r="M314">
        <f>dummy_variables!K314</f>
        <v>0</v>
      </c>
    </row>
    <row r="315" spans="1:13">
      <c r="A315">
        <f>cleaned_data!M315</f>
        <v>688368.46</v>
      </c>
      <c r="B315">
        <f>cleaned_data!E315</f>
        <v>46767.99</v>
      </c>
      <c r="C315">
        <f>cleaned_data!F315</f>
        <v>7973</v>
      </c>
      <c r="D315">
        <f>cleaned_data!G315</f>
        <v>0.183</v>
      </c>
      <c r="E315">
        <f>cleaned_data!I315</f>
        <v>94.8</v>
      </c>
      <c r="F315">
        <f>cleaned_data!L315</f>
        <v>4</v>
      </c>
      <c r="G315">
        <f>cleaned_data!K315</f>
        <v>0</v>
      </c>
      <c r="H315">
        <f>dummy_variables!F315</f>
        <v>1</v>
      </c>
      <c r="I315">
        <f>dummy_variables!G315</f>
        <v>0</v>
      </c>
      <c r="J315">
        <f>dummy_variables!H315</f>
        <v>0</v>
      </c>
      <c r="K315">
        <f>dummy_variables!I315</f>
        <v>0</v>
      </c>
      <c r="L315">
        <f>dummy_variables!J315</f>
        <v>0</v>
      </c>
      <c r="M315">
        <f>dummy_variables!K315</f>
        <v>0</v>
      </c>
    </row>
    <row r="316" spans="1:13">
      <c r="A316">
        <f>cleaned_data!M316</f>
        <v>712375.77</v>
      </c>
      <c r="B316">
        <f>cleaned_data!E316</f>
        <v>62507.16</v>
      </c>
      <c r="C316">
        <f>cleaned_data!F316</f>
        <v>6000</v>
      </c>
      <c r="D316">
        <f>cleaned_data!G316</f>
        <v>9.0999999999999998E-2</v>
      </c>
      <c r="E316">
        <f>cleaned_data!I316</f>
        <v>98.2</v>
      </c>
      <c r="F316">
        <f>cleaned_data!L316</f>
        <v>3.9</v>
      </c>
      <c r="G316">
        <f>cleaned_data!K316</f>
        <v>1</v>
      </c>
      <c r="H316">
        <f>dummy_variables!F316</f>
        <v>1</v>
      </c>
      <c r="I316">
        <f>dummy_variables!G316</f>
        <v>0</v>
      </c>
      <c r="J316">
        <f>dummy_variables!H316</f>
        <v>0</v>
      </c>
      <c r="K316">
        <f>dummy_variables!I316</f>
        <v>0</v>
      </c>
      <c r="L316">
        <f>dummy_variables!J316</f>
        <v>0</v>
      </c>
      <c r="M316">
        <f>dummy_variables!K316</f>
        <v>0</v>
      </c>
    </row>
    <row r="317" spans="1:13">
      <c r="A317">
        <f>cleaned_data!M317</f>
        <v>844710.67</v>
      </c>
      <c r="B317">
        <f>cleaned_data!E317</f>
        <v>66456.28</v>
      </c>
      <c r="C317">
        <f>cleaned_data!F317</f>
        <v>9967</v>
      </c>
      <c r="D317">
        <f>cleaned_data!G317</f>
        <v>0.108</v>
      </c>
      <c r="E317">
        <f>cleaned_data!I317</f>
        <v>94.7</v>
      </c>
      <c r="F317">
        <f>cleaned_data!L317</f>
        <v>4.2</v>
      </c>
      <c r="G317">
        <f>cleaned_data!K317</f>
        <v>0</v>
      </c>
      <c r="H317">
        <f>dummy_variables!F317</f>
        <v>1</v>
      </c>
      <c r="I317">
        <f>dummy_variables!G317</f>
        <v>0</v>
      </c>
      <c r="J317">
        <f>dummy_variables!H317</f>
        <v>0</v>
      </c>
      <c r="K317">
        <f>dummy_variables!I317</f>
        <v>0</v>
      </c>
      <c r="L317">
        <f>dummy_variables!J317</f>
        <v>0</v>
      </c>
      <c r="M317">
        <f>dummy_variables!K317</f>
        <v>0</v>
      </c>
    </row>
    <row r="318" spans="1:13">
      <c r="A318">
        <f>cleaned_data!M318</f>
        <v>620264.19999999995</v>
      </c>
      <c r="B318">
        <f>cleaned_data!E318</f>
        <v>76614.320000000007</v>
      </c>
      <c r="C318">
        <f>cleaned_data!F318</f>
        <v>5639</v>
      </c>
      <c r="D318">
        <f>cleaned_data!G318</f>
        <v>0.17399999999999999</v>
      </c>
      <c r="E318">
        <f>cleaned_data!I318</f>
        <v>92.9</v>
      </c>
      <c r="F318">
        <f>cleaned_data!L318</f>
        <v>4</v>
      </c>
      <c r="G318">
        <f>cleaned_data!K318</f>
        <v>1</v>
      </c>
      <c r="H318">
        <f>dummy_variables!F318</f>
        <v>0</v>
      </c>
      <c r="I318">
        <f>dummy_variables!G318</f>
        <v>0</v>
      </c>
      <c r="J318">
        <f>dummy_variables!H318</f>
        <v>0</v>
      </c>
      <c r="K318">
        <f>dummy_variables!I318</f>
        <v>0</v>
      </c>
      <c r="L318">
        <f>dummy_variables!J318</f>
        <v>0</v>
      </c>
      <c r="M318">
        <f>dummy_variables!K318</f>
        <v>0</v>
      </c>
    </row>
    <row r="319" spans="1:13">
      <c r="A319">
        <f>cleaned_data!M319</f>
        <v>536845.42000000004</v>
      </c>
      <c r="B319">
        <f>cleaned_data!E319</f>
        <v>24088.06</v>
      </c>
      <c r="C319">
        <f>cleaned_data!F319</f>
        <v>3466</v>
      </c>
      <c r="D319">
        <f>cleaned_data!G319</f>
        <v>0</v>
      </c>
      <c r="E319">
        <f>cleaned_data!I319</f>
        <v>88</v>
      </c>
      <c r="F319">
        <f>cleaned_data!L319</f>
        <v>3.8</v>
      </c>
      <c r="G319">
        <f>cleaned_data!K319</f>
        <v>0</v>
      </c>
      <c r="H319">
        <f>dummy_variables!F319</f>
        <v>0</v>
      </c>
      <c r="I319">
        <f>dummy_variables!G319</f>
        <v>0</v>
      </c>
      <c r="J319">
        <f>dummy_variables!H319</f>
        <v>0</v>
      </c>
      <c r="K319">
        <f>dummy_variables!I319</f>
        <v>0</v>
      </c>
      <c r="L319">
        <f>dummy_variables!J319</f>
        <v>0</v>
      </c>
      <c r="M319">
        <f>dummy_variables!K319</f>
        <v>0</v>
      </c>
    </row>
    <row r="320" spans="1:13">
      <c r="A320">
        <f>cleaned_data!M320</f>
        <v>726776.22</v>
      </c>
      <c r="B320">
        <f>cleaned_data!E320</f>
        <v>81902.58</v>
      </c>
      <c r="C320">
        <f>cleaned_data!F320</f>
        <v>7775</v>
      </c>
      <c r="D320">
        <f>cleaned_data!G320</f>
        <v>0.215</v>
      </c>
      <c r="E320">
        <f>cleaned_data!I320</f>
        <v>85.2</v>
      </c>
      <c r="F320">
        <f>cleaned_data!L320</f>
        <v>4.2</v>
      </c>
      <c r="G320">
        <f>cleaned_data!K320</f>
        <v>1</v>
      </c>
      <c r="H320">
        <f>dummy_variables!F320</f>
        <v>0</v>
      </c>
      <c r="I320">
        <f>dummy_variables!G320</f>
        <v>0</v>
      </c>
      <c r="J320">
        <f>dummy_variables!H320</f>
        <v>0</v>
      </c>
      <c r="K320">
        <f>dummy_variables!I320</f>
        <v>0</v>
      </c>
      <c r="L320">
        <f>dummy_variables!J320</f>
        <v>0</v>
      </c>
      <c r="M320">
        <f>dummy_variables!K320</f>
        <v>0</v>
      </c>
    </row>
    <row r="321" spans="1:13">
      <c r="A321">
        <f>cleaned_data!M321</f>
        <v>559660.84</v>
      </c>
      <c r="B321">
        <f>cleaned_data!E321</f>
        <v>40553.11</v>
      </c>
      <c r="C321">
        <f>cleaned_data!F321</f>
        <v>5317</v>
      </c>
      <c r="D321">
        <f>cleaned_data!G321</f>
        <v>0.16500000000000001</v>
      </c>
      <c r="E321">
        <f>cleaned_data!I321</f>
        <v>84.3</v>
      </c>
      <c r="F321">
        <f>cleaned_data!L321</f>
        <v>4.0999999999999996</v>
      </c>
      <c r="G321">
        <f>cleaned_data!K321</f>
        <v>0</v>
      </c>
      <c r="H321">
        <f>dummy_variables!F321</f>
        <v>0</v>
      </c>
      <c r="I321">
        <f>dummy_variables!G321</f>
        <v>0</v>
      </c>
      <c r="J321">
        <f>dummy_variables!H321</f>
        <v>0</v>
      </c>
      <c r="K321">
        <f>dummy_variables!I321</f>
        <v>0</v>
      </c>
      <c r="L321">
        <f>dummy_variables!J321</f>
        <v>0</v>
      </c>
      <c r="M321">
        <f>dummy_variables!K321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70AE-0F20-074A-A28E-454FD57118E5}">
  <dimension ref="A1:F321"/>
  <sheetViews>
    <sheetView tabSelected="1" workbookViewId="0">
      <selection activeCell="G3" sqref="G3"/>
    </sheetView>
  </sheetViews>
  <sheetFormatPr baseColWidth="10" defaultRowHeight="16"/>
  <cols>
    <col min="4" max="4" width="13" customWidth="1"/>
    <col min="5" max="5" width="16.83203125" customWidth="1"/>
    <col min="6" max="6" width="12.1640625" customWidth="1"/>
  </cols>
  <sheetData>
    <row r="1" spans="1:6">
      <c r="A1" s="7" t="s">
        <v>0</v>
      </c>
      <c r="B1" s="7" t="s">
        <v>2</v>
      </c>
      <c r="C1" s="7" t="s">
        <v>3</v>
      </c>
      <c r="D1" s="7" t="s">
        <v>12</v>
      </c>
      <c r="E1" s="7" t="s">
        <v>145</v>
      </c>
      <c r="F1" s="7" t="s">
        <v>146</v>
      </c>
    </row>
    <row r="2" spans="1:6">
      <c r="A2" s="8" t="s">
        <v>14</v>
      </c>
      <c r="B2" t="s">
        <v>15</v>
      </c>
      <c r="C2" t="s">
        <v>16</v>
      </c>
      <c r="D2">
        <v>658920.30000000005</v>
      </c>
      <c r="E2">
        <f>48902.8015+1.1916*cleaned_data!E5+33.6481*cleaned_data!F5-47714.01*cleaned_data!G5+3060.02*cleaned_data!I5+12599.55*cleaned_data!L5+13910.89*cleaned_data!K5+6379.19*dummy_variables!F5+18875.59*dummy_variables!G5+19293.73*dummy_variables!H5+41615.6*dummy_variables!I5+18404.23*dummy_variables!J5+29423.23*dummy_variables!K5</f>
        <v>735967.21148799988</v>
      </c>
      <c r="F2">
        <f t="shared" ref="F2:F65" si="0">D2-E2</f>
        <v>-77046.911487999838</v>
      </c>
    </row>
    <row r="3" spans="1:6">
      <c r="A3" s="8" t="s">
        <v>14</v>
      </c>
      <c r="B3" t="s">
        <v>15</v>
      </c>
      <c r="C3" t="s">
        <v>16</v>
      </c>
      <c r="D3">
        <v>678722.06</v>
      </c>
      <c r="E3">
        <f>48902.8015+1.1916*cleaned_data!E4+33.6481*cleaned_data!F4-47714.01*cleaned_data!G4+3060.02*cleaned_data!I4+12599.55*cleaned_data!L4+13910.89*cleaned_data!K4+6379.19*dummy_variables!F4+18875.59*dummy_variables!G4+19293.73*dummy_variables!H4+41615.6*dummy_variables!I4+18404.23*dummy_variables!J4+29423.23*dummy_variables!K4</f>
        <v>730195.05077000009</v>
      </c>
      <c r="F3">
        <f t="shared" si="0"/>
        <v>-51472.990770000033</v>
      </c>
    </row>
    <row r="4" spans="1:6">
      <c r="A4" s="8" t="s">
        <v>14</v>
      </c>
      <c r="B4" t="s">
        <v>15</v>
      </c>
      <c r="C4" t="s">
        <v>16</v>
      </c>
      <c r="D4">
        <v>634436</v>
      </c>
      <c r="E4">
        <f>48902.8015+1.1916*cleaned_data!E3+33.6481*cleaned_data!F3-47714.01*cleaned_data!G3+3060.02*cleaned_data!I3+12599.55*cleaned_data!L3+13910.89*cleaned_data!K3+6379.19*dummy_variables!F3+18875.59*dummy_variables!G3+19293.73*dummy_variables!H3+41615.6*dummy_variables!I3+18404.23*dummy_variables!J3+29423.23*dummy_variables!K3</f>
        <v>672228.01424399996</v>
      </c>
      <c r="F4">
        <f t="shared" si="0"/>
        <v>-37792.014243999962</v>
      </c>
    </row>
    <row r="5" spans="1:6">
      <c r="A5" s="8" t="s">
        <v>14</v>
      </c>
      <c r="B5" t="s">
        <v>15</v>
      </c>
      <c r="C5" t="s">
        <v>16</v>
      </c>
      <c r="D5">
        <v>658832.62</v>
      </c>
      <c r="E5">
        <f>48902.8015+1.1916*cleaned_data!E2+33.6481*cleaned_data!F2-47714.01*cleaned_data!G2+3060.02*cleaned_data!I2+12599.55*cleaned_data!L2+13910.89*cleaned_data!K2+6379.19*dummy_variables!F2+18875.59*dummy_variables!G2+19293.73*dummy_variables!H2+41615.6*dummy_variables!I2+18404.23*dummy_variables!J2+29423.23*dummy_variables!K2</f>
        <v>692591.99775600003</v>
      </c>
      <c r="F5">
        <f t="shared" si="0"/>
        <v>-33759.377756000031</v>
      </c>
    </row>
    <row r="6" spans="1:6">
      <c r="A6" s="8" t="s">
        <v>17</v>
      </c>
      <c r="B6" t="s">
        <v>15</v>
      </c>
      <c r="C6" t="s">
        <v>18</v>
      </c>
      <c r="D6">
        <v>741341.44</v>
      </c>
      <c r="E6">
        <f>48902.8015+1.1916*cleaned_data!E6+33.6481*cleaned_data!F6-47714.01*cleaned_data!G6+3060.02*cleaned_data!I6+12599.55*cleaned_data!L6+13910.89*cleaned_data!K6+6379.19*dummy_variables!F6+18875.59*dummy_variables!G6+19293.73*dummy_variables!H6+41615.6*dummy_variables!I6+18404.23*dummy_variables!J6+29423.23*dummy_variables!K6</f>
        <v>800631.6635139999</v>
      </c>
      <c r="F6">
        <f t="shared" si="0"/>
        <v>-59290.223513999954</v>
      </c>
    </row>
    <row r="7" spans="1:6">
      <c r="A7" s="8" t="s">
        <v>17</v>
      </c>
      <c r="B7" t="s">
        <v>15</v>
      </c>
      <c r="C7" t="s">
        <v>18</v>
      </c>
      <c r="D7">
        <v>761835.34</v>
      </c>
      <c r="E7">
        <f>48902.8015+1.1916*cleaned_data!E7+33.6481*cleaned_data!F7-47714.01*cleaned_data!G7+3060.02*cleaned_data!I7+12599.55*cleaned_data!L7+13910.89*cleaned_data!K7+6379.19*dummy_variables!F7+18875.59*dummy_variables!G7+19293.73*dummy_variables!H7+41615.6*dummy_variables!I7+18404.23*dummy_variables!J7+29423.23*dummy_variables!K7</f>
        <v>779246.08941599994</v>
      </c>
      <c r="F7">
        <f t="shared" si="0"/>
        <v>-17410.749415999977</v>
      </c>
    </row>
    <row r="8" spans="1:6">
      <c r="A8" s="8" t="s">
        <v>17</v>
      </c>
      <c r="B8" t="s">
        <v>15</v>
      </c>
      <c r="C8" t="s">
        <v>18</v>
      </c>
      <c r="D8">
        <v>806615.54</v>
      </c>
      <c r="E8">
        <f>48902.8015+1.1916*cleaned_data!E8+33.6481*cleaned_data!F8-47714.01*cleaned_data!G8+3060.02*cleaned_data!I8+12599.55*cleaned_data!L8+13910.89*cleaned_data!K8+6379.19*dummy_variables!F8+18875.59*dummy_variables!G8+19293.73*dummy_variables!H8+41615.6*dummy_variables!I8+18404.23*dummy_variables!J8+29423.23*dummy_variables!K8</f>
        <v>800044.84790000005</v>
      </c>
      <c r="F8">
        <f t="shared" si="0"/>
        <v>6570.6920999999857</v>
      </c>
    </row>
    <row r="9" spans="1:6">
      <c r="A9" s="8" t="s">
        <v>17</v>
      </c>
      <c r="B9" t="s">
        <v>15</v>
      </c>
      <c r="C9" t="s">
        <v>18</v>
      </c>
      <c r="D9">
        <v>850164.26</v>
      </c>
      <c r="E9">
        <f>48902.8015+1.1916*cleaned_data!E9+33.6481*cleaned_data!F9-47714.01*cleaned_data!G9+3060.02*cleaned_data!I9+12599.55*cleaned_data!L9+13910.89*cleaned_data!K9+6379.19*dummy_variables!F9+18875.59*dummy_variables!G9+19293.73*dummy_variables!H9+41615.6*dummy_variables!I9+18404.23*dummy_variables!J9+29423.23*dummy_variables!K9</f>
        <v>772392.55836199981</v>
      </c>
      <c r="F9">
        <f t="shared" si="0"/>
        <v>77771.701638000202</v>
      </c>
    </row>
    <row r="10" spans="1:6">
      <c r="A10" s="8" t="s">
        <v>19</v>
      </c>
      <c r="B10" t="s">
        <v>20</v>
      </c>
      <c r="C10" t="s">
        <v>21</v>
      </c>
      <c r="D10">
        <v>723060.76</v>
      </c>
      <c r="E10">
        <f>48902.8015+1.1916*cleaned_data!E12+33.6481*cleaned_data!F12-47714.01*cleaned_data!G12+3060.02*cleaned_data!I12+12599.55*cleaned_data!L12+13910.89*cleaned_data!K12+6379.19*dummy_variables!F12+18875.59*dummy_variables!G12+19293.73*dummy_variables!H12+41615.6*dummy_variables!I12+18404.23*dummy_variables!J12+29423.23*dummy_variables!K12</f>
        <v>768198.08280600002</v>
      </c>
      <c r="F10">
        <f t="shared" si="0"/>
        <v>-45137.322806000011</v>
      </c>
    </row>
    <row r="11" spans="1:6">
      <c r="A11" s="8" t="s">
        <v>19</v>
      </c>
      <c r="B11" t="s">
        <v>20</v>
      </c>
      <c r="C11" t="s">
        <v>21</v>
      </c>
      <c r="D11">
        <v>779010.94</v>
      </c>
      <c r="E11">
        <f>48902.8015+1.1916*cleaned_data!E11+33.6481*cleaned_data!F11-47714.01*cleaned_data!G11+3060.02*cleaned_data!I11+12599.55*cleaned_data!L11+13910.89*cleaned_data!K11+6379.19*dummy_variables!F11+18875.59*dummy_variables!G11+19293.73*dummy_variables!H11+41615.6*dummy_variables!I11+18404.23*dummy_variables!J11+29423.23*dummy_variables!K11</f>
        <v>798885.50430399994</v>
      </c>
      <c r="F11">
        <f t="shared" si="0"/>
        <v>-19874.564304</v>
      </c>
    </row>
    <row r="12" spans="1:6">
      <c r="A12" s="8" t="s">
        <v>19</v>
      </c>
      <c r="B12" t="s">
        <v>20</v>
      </c>
      <c r="C12" t="s">
        <v>21</v>
      </c>
      <c r="D12">
        <v>910791.94</v>
      </c>
      <c r="E12">
        <f>48902.8015+1.1916*cleaned_data!E13+33.6481*cleaned_data!F13-47714.01*cleaned_data!G13+3060.02*cleaned_data!I13+12599.55*cleaned_data!L13+13910.89*cleaned_data!K13+6379.19*dummy_variables!F13+18875.59*dummy_variables!G13+19293.73*dummy_variables!H13+41615.6*dummy_variables!I13+18404.23*dummy_variables!J13+29423.23*dummy_variables!K13</f>
        <v>864573.14748799999</v>
      </c>
      <c r="F12">
        <f t="shared" si="0"/>
        <v>46218.792511999956</v>
      </c>
    </row>
    <row r="13" spans="1:6">
      <c r="A13" s="8" t="s">
        <v>19</v>
      </c>
      <c r="B13" t="s">
        <v>20</v>
      </c>
      <c r="C13" t="s">
        <v>21</v>
      </c>
      <c r="D13">
        <v>930581.7</v>
      </c>
      <c r="E13">
        <f>48902.8015+1.1916*cleaned_data!E10+33.6481*cleaned_data!F10-47714.01*cleaned_data!G10+3060.02*cleaned_data!I10+12599.55*cleaned_data!L10+13910.89*cleaned_data!K10+6379.19*dummy_variables!F10+18875.59*dummy_variables!G10+19293.73*dummy_variables!H10+41615.6*dummy_variables!I10+18404.23*dummy_variables!J10+29423.23*dummy_variables!K10</f>
        <v>874571.70682600001</v>
      </c>
      <c r="F13">
        <f t="shared" si="0"/>
        <v>56009.993173999945</v>
      </c>
    </row>
    <row r="14" spans="1:6">
      <c r="A14" s="8" t="s">
        <v>22</v>
      </c>
      <c r="B14" t="s">
        <v>15</v>
      </c>
      <c r="C14" t="s">
        <v>16</v>
      </c>
      <c r="D14">
        <v>726606.28</v>
      </c>
      <c r="E14">
        <f>48902.8015+1.1916*cleaned_data!E15+33.6481*cleaned_data!F15-47714.01*cleaned_data!G15+3060.02*cleaned_data!I15+12599.55*cleaned_data!L15+13910.89*cleaned_data!K15+6379.19*dummy_variables!F15+18875.59*dummy_variables!G15+19293.73*dummy_variables!H15+41615.6*dummy_variables!I15+18404.23*dummy_variables!J15+29423.23*dummy_variables!K15</f>
        <v>760600.47915199993</v>
      </c>
      <c r="F14">
        <f t="shared" si="0"/>
        <v>-33994.199151999899</v>
      </c>
    </row>
    <row r="15" spans="1:6">
      <c r="A15" s="8" t="s">
        <v>22</v>
      </c>
      <c r="B15" t="s">
        <v>15</v>
      </c>
      <c r="C15" t="s">
        <v>16</v>
      </c>
      <c r="D15">
        <v>746501.09</v>
      </c>
      <c r="E15">
        <f>48902.8015+1.1916*cleaned_data!E16+33.6481*cleaned_data!F16-47714.01*cleaned_data!G16+3060.02*cleaned_data!I16+12599.55*cleaned_data!L16+13910.89*cleaned_data!K16+6379.19*dummy_variables!F16+18875.59*dummy_variables!G16+19293.73*dummy_variables!H16+41615.6*dummy_variables!I16+18404.23*dummy_variables!J16+29423.23*dummy_variables!K16</f>
        <v>734619.86983600003</v>
      </c>
      <c r="F15">
        <f t="shared" si="0"/>
        <v>11881.22016399994</v>
      </c>
    </row>
    <row r="16" spans="1:6">
      <c r="A16" s="8" t="s">
        <v>22</v>
      </c>
      <c r="B16" t="s">
        <v>15</v>
      </c>
      <c r="C16" t="s">
        <v>16</v>
      </c>
      <c r="D16">
        <v>834017.02</v>
      </c>
      <c r="E16">
        <f>48902.8015+1.1916*cleaned_data!E17+33.6481*cleaned_data!F17-47714.01*cleaned_data!G17+3060.02*cleaned_data!I17+12599.55*cleaned_data!L17+13910.89*cleaned_data!K17+6379.19*dummy_variables!F17+18875.59*dummy_variables!G17+19293.73*dummy_variables!H17+41615.6*dummy_variables!I17+18404.23*dummy_variables!J17+29423.23*dummy_variables!K17</f>
        <v>797250.52047600003</v>
      </c>
      <c r="F16">
        <f t="shared" si="0"/>
        <v>36766.499523999984</v>
      </c>
    </row>
    <row r="17" spans="1:6">
      <c r="A17" s="8" t="s">
        <v>22</v>
      </c>
      <c r="B17" t="s">
        <v>15</v>
      </c>
      <c r="C17" t="s">
        <v>16</v>
      </c>
      <c r="D17">
        <v>922168.6</v>
      </c>
      <c r="E17">
        <f>48902.8015+1.1916*cleaned_data!E14+33.6481*cleaned_data!F14-47714.01*cleaned_data!G14+3060.02*cleaned_data!I14+12599.55*cleaned_data!L14+13910.89*cleaned_data!K14+6379.19*dummy_variables!F14+18875.59*dummy_variables!G14+19293.73*dummy_variables!H14+41615.6*dummy_variables!I14+18404.23*dummy_variables!J14+29423.23*dummy_variables!K14</f>
        <v>875645.64245599997</v>
      </c>
      <c r="F17">
        <f t="shared" si="0"/>
        <v>46522.957544000004</v>
      </c>
    </row>
    <row r="18" spans="1:6">
      <c r="A18" s="8" t="s">
        <v>23</v>
      </c>
      <c r="B18" t="s">
        <v>24</v>
      </c>
      <c r="C18" t="s">
        <v>16</v>
      </c>
      <c r="D18">
        <v>666573.19999999995</v>
      </c>
      <c r="E18">
        <f>48902.8015+1.1916*cleaned_data!E20+33.6481*cleaned_data!F20-47714.01*cleaned_data!G20+3060.02*cleaned_data!I20+12599.55*cleaned_data!L20+13910.89*cleaned_data!K20+6379.19*dummy_variables!F20+18875.59*dummy_variables!G20+19293.73*dummy_variables!H20+41615.6*dummy_variables!I20+18404.23*dummy_variables!J20+29423.23*dummy_variables!K20</f>
        <v>685142.85889199993</v>
      </c>
      <c r="F18">
        <f t="shared" si="0"/>
        <v>-18569.658891999978</v>
      </c>
    </row>
    <row r="19" spans="1:6">
      <c r="A19" s="8" t="s">
        <v>23</v>
      </c>
      <c r="B19" t="s">
        <v>24</v>
      </c>
      <c r="C19" t="s">
        <v>16</v>
      </c>
      <c r="D19">
        <v>573155.18999999994</v>
      </c>
      <c r="E19">
        <f>48902.8015+1.1916*cleaned_data!E19+33.6481*cleaned_data!F19-47714.01*cleaned_data!G19+3060.02*cleaned_data!I19+12599.55*cleaned_data!L19+13910.89*cleaned_data!K19+6379.19*dummy_variables!F19+18875.59*dummy_variables!G19+19293.73*dummy_variables!H19+41615.6*dummy_variables!I19+18404.23*dummy_variables!J19+29423.23*dummy_variables!K19</f>
        <v>589403.2962499999</v>
      </c>
      <c r="F19">
        <f t="shared" si="0"/>
        <v>-16248.106249999953</v>
      </c>
    </row>
    <row r="20" spans="1:6">
      <c r="A20" s="8" t="s">
        <v>23</v>
      </c>
      <c r="B20" t="s">
        <v>24</v>
      </c>
      <c r="C20" t="s">
        <v>16</v>
      </c>
      <c r="D20">
        <v>666152.52</v>
      </c>
      <c r="E20">
        <f>48902.8015+1.1916*cleaned_data!E18+33.6481*cleaned_data!F18-47714.01*cleaned_data!G18+3060.02*cleaned_data!I18+12599.55*cleaned_data!L18+13910.89*cleaned_data!K18+6379.19*dummy_variables!F18+18875.59*dummy_variables!G18+19293.73*dummy_variables!H18+41615.6*dummy_variables!I18+18404.23*dummy_variables!J18+29423.23*dummy_variables!K18</f>
        <v>678131.66070200002</v>
      </c>
      <c r="F20">
        <f t="shared" si="0"/>
        <v>-11979.140702000004</v>
      </c>
    </row>
    <row r="21" spans="1:6">
      <c r="A21" s="8" t="s">
        <v>23</v>
      </c>
      <c r="B21" t="s">
        <v>24</v>
      </c>
      <c r="C21" t="s">
        <v>16</v>
      </c>
      <c r="D21">
        <v>591619.94999999995</v>
      </c>
      <c r="E21">
        <f>48902.8015+1.1916*cleaned_data!E21+33.6481*cleaned_data!F21-47714.01*cleaned_data!G21+3060.02*cleaned_data!I21+12599.55*cleaned_data!L21+13910.89*cleaned_data!K21+6379.19*dummy_variables!F21+18875.59*dummy_variables!G21+19293.73*dummy_variables!H21+41615.6*dummy_variables!I21+18404.23*dummy_variables!J21+29423.23*dummy_variables!K21</f>
        <v>593917.75420799991</v>
      </c>
      <c r="F21">
        <f t="shared" si="0"/>
        <v>-2297.8042079999577</v>
      </c>
    </row>
    <row r="22" spans="1:6">
      <c r="A22" s="8" t="s">
        <v>25</v>
      </c>
      <c r="B22" t="s">
        <v>20</v>
      </c>
      <c r="C22" t="s">
        <v>16</v>
      </c>
      <c r="D22">
        <v>415721.82</v>
      </c>
      <c r="E22">
        <f>48902.8015+1.1916*cleaned_data!E22+33.6481*cleaned_data!F22-47714.01*cleaned_data!G22+3060.02*cleaned_data!I22+12599.55*cleaned_data!L22+13910.89*cleaned_data!K22+6379.19*dummy_variables!F22+18875.59*dummy_variables!G22+19293.73*dummy_variables!H22+41615.6*dummy_variables!I22+18404.23*dummy_variables!J22+29423.23*dummy_variables!K22</f>
        <v>497874.98263799999</v>
      </c>
      <c r="F22">
        <f t="shared" si="0"/>
        <v>-82153.16263799998</v>
      </c>
    </row>
    <row r="23" spans="1:6">
      <c r="A23" s="8" t="s">
        <v>25</v>
      </c>
      <c r="B23" t="s">
        <v>20</v>
      </c>
      <c r="C23" t="s">
        <v>16</v>
      </c>
      <c r="D23">
        <v>491905.13</v>
      </c>
      <c r="E23">
        <f>48902.8015+1.1916*cleaned_data!E23+33.6481*cleaned_data!F23-47714.01*cleaned_data!G23+3060.02*cleaned_data!I23+12599.55*cleaned_data!L23+13910.89*cleaned_data!K23+6379.19*dummy_variables!F23+18875.59*dummy_variables!G23+19293.73*dummy_variables!H23+41615.6*dummy_variables!I23+18404.23*dummy_variables!J23+29423.23*dummy_variables!K23</f>
        <v>492002.56324800005</v>
      </c>
      <c r="F23">
        <f t="shared" si="0"/>
        <v>-97.433248000044841</v>
      </c>
    </row>
    <row r="24" spans="1:6">
      <c r="A24" s="8" t="s">
        <v>25</v>
      </c>
      <c r="B24" t="s">
        <v>20</v>
      </c>
      <c r="C24" t="s">
        <v>16</v>
      </c>
      <c r="D24">
        <v>565810.99</v>
      </c>
      <c r="E24">
        <f>48902.8015+1.1916*cleaned_data!E25+33.6481*cleaned_data!F25-47714.01*cleaned_data!G25+3060.02*cleaned_data!I25+12599.55*cleaned_data!L25+13910.89*cleaned_data!K25+6379.19*dummy_variables!F25+18875.59*dummy_variables!G25+19293.73*dummy_variables!H25+41615.6*dummy_variables!I25+18404.23*dummy_variables!J25+29423.23*dummy_variables!K25</f>
        <v>547895.18602799997</v>
      </c>
      <c r="F24">
        <f t="shared" si="0"/>
        <v>17915.803972000023</v>
      </c>
    </row>
    <row r="25" spans="1:6">
      <c r="A25" s="8" t="s">
        <v>25</v>
      </c>
      <c r="B25" t="s">
        <v>20</v>
      </c>
      <c r="C25" t="s">
        <v>16</v>
      </c>
      <c r="D25">
        <v>555929.4</v>
      </c>
      <c r="E25">
        <f>48902.8015+1.1916*cleaned_data!E24+33.6481*cleaned_data!F24-47714.01*cleaned_data!G24+3060.02*cleaned_data!I24+12599.55*cleaned_data!L24+13910.89*cleaned_data!K24+6379.19*dummy_variables!F24+18875.59*dummy_variables!G24+19293.73*dummy_variables!H24+41615.6*dummy_variables!I24+18404.23*dummy_variables!J24+29423.23*dummy_variables!K24</f>
        <v>533996.21639199986</v>
      </c>
      <c r="F25">
        <f t="shared" si="0"/>
        <v>21933.183608000167</v>
      </c>
    </row>
    <row r="26" spans="1:6">
      <c r="A26" s="8" t="s">
        <v>26</v>
      </c>
      <c r="B26" t="s">
        <v>27</v>
      </c>
      <c r="C26" t="s">
        <v>28</v>
      </c>
      <c r="D26">
        <v>800451.94</v>
      </c>
      <c r="E26">
        <f>48902.8015+1.1916*cleaned_data!E27+33.6481*cleaned_data!F27-47714.01*cleaned_data!G27+3060.02*cleaned_data!I27+12599.55*cleaned_data!L27+13910.89*cleaned_data!K27+6379.19*dummy_variables!F27+18875.59*dummy_variables!G27+19293.73*dummy_variables!H27+41615.6*dummy_variables!I27+18404.23*dummy_variables!J27+29423.23*dummy_variables!K27</f>
        <v>909678.69143200002</v>
      </c>
      <c r="F26">
        <f t="shared" si="0"/>
        <v>-109226.75143200008</v>
      </c>
    </row>
    <row r="27" spans="1:6">
      <c r="A27" s="8" t="s">
        <v>26</v>
      </c>
      <c r="B27" t="s">
        <v>27</v>
      </c>
      <c r="C27" t="s">
        <v>28</v>
      </c>
      <c r="D27">
        <v>811771.14</v>
      </c>
      <c r="E27">
        <f>48902.8015+1.1916*cleaned_data!E26+33.6481*cleaned_data!F26-47714.01*cleaned_data!G26+3060.02*cleaned_data!I26+12599.55*cleaned_data!L26+13910.89*cleaned_data!K26+6379.19*dummy_variables!F26+18875.59*dummy_variables!G26+19293.73*dummy_variables!H26+41615.6*dummy_variables!I26+18404.23*dummy_variables!J26+29423.23*dummy_variables!K26</f>
        <v>838602.34889400005</v>
      </c>
      <c r="F27">
        <f t="shared" si="0"/>
        <v>-26831.208894000039</v>
      </c>
    </row>
    <row r="28" spans="1:6">
      <c r="A28" s="8" t="s">
        <v>26</v>
      </c>
      <c r="B28" t="s">
        <v>27</v>
      </c>
      <c r="C28" t="s">
        <v>28</v>
      </c>
      <c r="D28">
        <v>783672.82</v>
      </c>
      <c r="E28">
        <f>48902.8015+1.1916*cleaned_data!E28+33.6481*cleaned_data!F28-47714.01*cleaned_data!G28+3060.02*cleaned_data!I28+12599.55*cleaned_data!L28+13910.89*cleaned_data!K28+6379.19*dummy_variables!F28+18875.59*dummy_variables!G28+19293.73*dummy_variables!H28+41615.6*dummy_variables!I28+18404.23*dummy_variables!J28+29423.23*dummy_variables!K28</f>
        <v>800462.53494199994</v>
      </c>
      <c r="F28">
        <f t="shared" si="0"/>
        <v>-16789.714941999991</v>
      </c>
    </row>
    <row r="29" spans="1:6">
      <c r="A29" s="8" t="s">
        <v>26</v>
      </c>
      <c r="B29" t="s">
        <v>27</v>
      </c>
      <c r="C29" t="s">
        <v>28</v>
      </c>
      <c r="D29">
        <v>701641.97</v>
      </c>
      <c r="E29">
        <f>48902.8015+1.1916*cleaned_data!E29+33.6481*cleaned_data!F29-47714.01*cleaned_data!G29+3060.02*cleaned_data!I29+12599.55*cleaned_data!L29+13910.89*cleaned_data!K29+6379.19*dummy_variables!F29+18875.59*dummy_variables!G29+19293.73*dummy_variables!H29+41615.6*dummy_variables!I29+18404.23*dummy_variables!J29+29423.23*dummy_variables!K29</f>
        <v>701926.21074000001</v>
      </c>
      <c r="F29">
        <f t="shared" si="0"/>
        <v>-284.24074000003748</v>
      </c>
    </row>
    <row r="30" spans="1:6">
      <c r="A30" s="8" t="s">
        <v>29</v>
      </c>
      <c r="B30" t="s">
        <v>15</v>
      </c>
      <c r="C30" t="s">
        <v>16</v>
      </c>
      <c r="D30">
        <v>511844.41</v>
      </c>
      <c r="E30">
        <f>48902.8015+1.1916*cleaned_data!E30+33.6481*cleaned_data!F30-47714.01*cleaned_data!G30+3060.02*cleaned_data!I30+12599.55*cleaned_data!L30+13910.89*cleaned_data!K30+6379.19*dummy_variables!F30+18875.59*dummy_variables!G30+19293.73*dummy_variables!H30+41615.6*dummy_variables!I30+18404.23*dummy_variables!J30+29423.23*dummy_variables!K30</f>
        <v>564379.46585200005</v>
      </c>
      <c r="F30">
        <f t="shared" si="0"/>
        <v>-52535.055852000078</v>
      </c>
    </row>
    <row r="31" spans="1:6">
      <c r="A31" s="8" t="s">
        <v>29</v>
      </c>
      <c r="B31" t="s">
        <v>15</v>
      </c>
      <c r="C31" t="s">
        <v>16</v>
      </c>
      <c r="D31">
        <v>427917.38</v>
      </c>
      <c r="E31">
        <f>48902.8015+1.1916*cleaned_data!E33+33.6481*cleaned_data!F33-47714.01*cleaned_data!G33+3060.02*cleaned_data!I33+12599.55*cleaned_data!L33+13910.89*cleaned_data!K33+6379.19*dummy_variables!F33+18875.59*dummy_variables!G33+19293.73*dummy_variables!H33+41615.6*dummy_variables!I33+18404.23*dummy_variables!J33+29423.23*dummy_variables!K33</f>
        <v>477206.49358000001</v>
      </c>
      <c r="F31">
        <f t="shared" si="0"/>
        <v>-49289.113580000005</v>
      </c>
    </row>
    <row r="32" spans="1:6">
      <c r="A32" s="8" t="s">
        <v>29</v>
      </c>
      <c r="B32" t="s">
        <v>15</v>
      </c>
      <c r="C32" t="s">
        <v>16</v>
      </c>
      <c r="D32">
        <v>500173.02</v>
      </c>
      <c r="E32">
        <f>48902.8015+1.1916*cleaned_data!E32+33.6481*cleaned_data!F32-47714.01*cleaned_data!G32+3060.02*cleaned_data!I32+12599.55*cleaned_data!L32+13910.89*cleaned_data!K32+6379.19*dummy_variables!F32+18875.59*dummy_variables!G32+19293.73*dummy_variables!H32+41615.6*dummy_variables!I32+18404.23*dummy_variables!J32+29423.23*dummy_variables!K32</f>
        <v>507731.47556800005</v>
      </c>
      <c r="F32">
        <f t="shared" si="0"/>
        <v>-7558.455568000034</v>
      </c>
    </row>
    <row r="33" spans="1:6">
      <c r="A33" s="8" t="s">
        <v>29</v>
      </c>
      <c r="B33" t="s">
        <v>15</v>
      </c>
      <c r="C33" t="s">
        <v>16</v>
      </c>
      <c r="D33">
        <v>537383.79</v>
      </c>
      <c r="E33">
        <f>48902.8015+1.1916*cleaned_data!E31+33.6481*cleaned_data!F31-47714.01*cleaned_data!G31+3060.02*cleaned_data!I31+12599.55*cleaned_data!L31+13910.89*cleaned_data!K31+6379.19*dummy_variables!F31+18875.59*dummy_variables!G31+19293.73*dummy_variables!H31+41615.6*dummy_variables!I31+18404.23*dummy_variables!J31+29423.23*dummy_variables!K31</f>
        <v>501107.28080800001</v>
      </c>
      <c r="F33">
        <f t="shared" si="0"/>
        <v>36276.509192000027</v>
      </c>
    </row>
    <row r="34" spans="1:6">
      <c r="A34" s="8" t="s">
        <v>30</v>
      </c>
      <c r="B34" t="s">
        <v>20</v>
      </c>
      <c r="C34" t="s">
        <v>16</v>
      </c>
      <c r="D34">
        <v>641865.03</v>
      </c>
      <c r="E34">
        <f>48902.8015+1.1916*cleaned_data!E34+33.6481*cleaned_data!F34-47714.01*cleaned_data!G34+3060.02*cleaned_data!I34+12599.55*cleaned_data!L34+13910.89*cleaned_data!K34+6379.19*dummy_variables!F34+18875.59*dummy_variables!G34+19293.73*dummy_variables!H34+41615.6*dummy_variables!I34+18404.23*dummy_variables!J34+29423.23*dummy_variables!K34</f>
        <v>736456.24274799996</v>
      </c>
      <c r="F34">
        <f t="shared" si="0"/>
        <v>-94591.212747999933</v>
      </c>
    </row>
    <row r="35" spans="1:6">
      <c r="A35" s="8" t="s">
        <v>30</v>
      </c>
      <c r="B35" t="s">
        <v>20</v>
      </c>
      <c r="C35" t="s">
        <v>16</v>
      </c>
      <c r="D35">
        <v>799477.76000000001</v>
      </c>
      <c r="E35">
        <f>48902.8015+1.1916*cleaned_data!E35+33.6481*cleaned_data!F35-47714.01*cleaned_data!G35+3060.02*cleaned_data!I35+12599.55*cleaned_data!L35+13910.89*cleaned_data!K35+6379.19*dummy_variables!F35+18875.59*dummy_variables!G35+19293.73*dummy_variables!H35+41615.6*dummy_variables!I35+18404.23*dummy_variables!J35+29423.23*dummy_variables!K35</f>
        <v>842945.04225599999</v>
      </c>
      <c r="F35">
        <f t="shared" si="0"/>
        <v>-43467.282255999977</v>
      </c>
    </row>
    <row r="36" spans="1:6">
      <c r="A36" s="8" t="s">
        <v>30</v>
      </c>
      <c r="B36" t="s">
        <v>20</v>
      </c>
      <c r="C36" t="s">
        <v>16</v>
      </c>
      <c r="D36">
        <v>800979.78</v>
      </c>
      <c r="E36">
        <f>48902.8015+1.1916*cleaned_data!E37+33.6481*cleaned_data!F37-47714.01*cleaned_data!G37+3060.02*cleaned_data!I37+12599.55*cleaned_data!L37+13910.89*cleaned_data!K37+6379.19*dummy_variables!F37+18875.59*dummy_variables!G37+19293.73*dummy_variables!H37+41615.6*dummy_variables!I37+18404.23*dummy_variables!J37+29423.23*dummy_variables!K37</f>
        <v>806060.24066199991</v>
      </c>
      <c r="F36">
        <f t="shared" si="0"/>
        <v>-5080.4606619998813</v>
      </c>
    </row>
    <row r="37" spans="1:6">
      <c r="A37" s="8" t="s">
        <v>30</v>
      </c>
      <c r="B37" t="s">
        <v>20</v>
      </c>
      <c r="C37" t="s">
        <v>16</v>
      </c>
      <c r="D37">
        <v>798952.17</v>
      </c>
      <c r="E37">
        <f>48902.8015+1.1916*cleaned_data!E36+33.6481*cleaned_data!F36-47714.01*cleaned_data!G36+3060.02*cleaned_data!I36+12599.55*cleaned_data!L36+13910.89*cleaned_data!K36+6379.19*dummy_variables!F36+18875.59*dummy_variables!G36+19293.73*dummy_variables!H36+41615.6*dummy_variables!I36+18404.23*dummy_variables!J36+29423.23*dummy_variables!K36</f>
        <v>785959.88841799996</v>
      </c>
      <c r="F37">
        <f t="shared" si="0"/>
        <v>12992.281582000083</v>
      </c>
    </row>
    <row r="38" spans="1:6">
      <c r="A38" s="8" t="s">
        <v>31</v>
      </c>
      <c r="B38" t="s">
        <v>20</v>
      </c>
      <c r="C38" t="s">
        <v>28</v>
      </c>
      <c r="D38">
        <v>718330.53</v>
      </c>
      <c r="E38">
        <f>48902.8015+1.1916*cleaned_data!E39+33.6481*cleaned_data!F39-47714.01*cleaned_data!G39+3060.02*cleaned_data!I39+12599.55*cleaned_data!L39+13910.89*cleaned_data!K39+6379.19*dummy_variables!F39+18875.59*dummy_variables!G39+19293.73*dummy_variables!H39+41615.6*dummy_variables!I39+18404.23*dummy_variables!J39+29423.23*dummy_variables!K39</f>
        <v>756829.91809599998</v>
      </c>
      <c r="F38">
        <f t="shared" si="0"/>
        <v>-38499.388095999951</v>
      </c>
    </row>
    <row r="39" spans="1:6">
      <c r="A39" s="8" t="s">
        <v>31</v>
      </c>
      <c r="B39" t="s">
        <v>20</v>
      </c>
      <c r="C39" t="s">
        <v>28</v>
      </c>
      <c r="D39">
        <v>736633.4</v>
      </c>
      <c r="E39">
        <f>48902.8015+1.1916*cleaned_data!E40+33.6481*cleaned_data!F40-47714.01*cleaned_data!G40+3060.02*cleaned_data!I40+12599.55*cleaned_data!L40+13910.89*cleaned_data!K40+6379.19*dummy_variables!F40+18875.59*dummy_variables!G40+19293.73*dummy_variables!H40+41615.6*dummy_variables!I40+18404.23*dummy_variables!J40+29423.23*dummy_variables!K40</f>
        <v>745051.74713599996</v>
      </c>
      <c r="F39">
        <f t="shared" si="0"/>
        <v>-8418.3471359999385</v>
      </c>
    </row>
    <row r="40" spans="1:6">
      <c r="A40" s="8" t="s">
        <v>31</v>
      </c>
      <c r="B40" t="s">
        <v>20</v>
      </c>
      <c r="C40" t="s">
        <v>28</v>
      </c>
      <c r="D40">
        <v>828623.85</v>
      </c>
      <c r="E40">
        <f>48902.8015+1.1916*cleaned_data!E41+33.6481*cleaned_data!F41-47714.01*cleaned_data!G41+3060.02*cleaned_data!I41+12599.55*cleaned_data!L41+13910.89*cleaned_data!K41+6379.19*dummy_variables!F41+18875.59*dummy_variables!G41+19293.73*dummy_variables!H41+41615.6*dummy_variables!I41+18404.23*dummy_variables!J41+29423.23*dummy_variables!K41</f>
        <v>829750.77605400002</v>
      </c>
      <c r="F40">
        <f t="shared" si="0"/>
        <v>-1126.9260540000396</v>
      </c>
    </row>
    <row r="41" spans="1:6">
      <c r="A41" s="8" t="s">
        <v>31</v>
      </c>
      <c r="B41" t="s">
        <v>20</v>
      </c>
      <c r="C41" t="s">
        <v>28</v>
      </c>
      <c r="D41">
        <v>820593.93</v>
      </c>
      <c r="E41">
        <f>48902.8015+1.1916*cleaned_data!E38+33.6481*cleaned_data!F38-47714.01*cleaned_data!G38+3060.02*cleaned_data!I38+12599.55*cleaned_data!L38+13910.89*cleaned_data!K38+6379.19*dummy_variables!F38+18875.59*dummy_variables!G38+19293.73*dummy_variables!H38+41615.6*dummy_variables!I38+18404.23*dummy_variables!J38+29423.23*dummy_variables!K38</f>
        <v>788505.67947199987</v>
      </c>
      <c r="F41">
        <f t="shared" si="0"/>
        <v>32088.250528000179</v>
      </c>
    </row>
    <row r="42" spans="1:6">
      <c r="A42" s="8" t="s">
        <v>32</v>
      </c>
      <c r="B42" t="s">
        <v>15</v>
      </c>
      <c r="C42" t="s">
        <v>28</v>
      </c>
      <c r="D42">
        <v>592195.85</v>
      </c>
      <c r="E42">
        <f>48902.8015+1.1916*cleaned_data!E42+33.6481*cleaned_data!F42-47714.01*cleaned_data!G42+3060.02*cleaned_data!I42+12599.55*cleaned_data!L42+13910.89*cleaned_data!K42+6379.19*dummy_variables!F42+18875.59*dummy_variables!G42+19293.73*dummy_variables!H42+41615.6*dummy_variables!I42+18404.23*dummy_variables!J42+29423.23*dummy_variables!K42</f>
        <v>586043.98662400001</v>
      </c>
      <c r="F42">
        <f t="shared" si="0"/>
        <v>6151.8633759999648</v>
      </c>
    </row>
    <row r="43" spans="1:6">
      <c r="A43" s="8" t="s">
        <v>32</v>
      </c>
      <c r="B43" t="s">
        <v>15</v>
      </c>
      <c r="C43" t="s">
        <v>28</v>
      </c>
      <c r="D43">
        <v>605178</v>
      </c>
      <c r="E43">
        <f>48902.8015+1.1916*cleaned_data!E45+33.6481*cleaned_data!F45-47714.01*cleaned_data!G45+3060.02*cleaned_data!I45+12599.55*cleaned_data!L45+13910.89*cleaned_data!K45+6379.19*dummy_variables!F45+18875.59*dummy_variables!G45+19293.73*dummy_variables!H45+41615.6*dummy_variables!I45+18404.23*dummy_variables!J45+29423.23*dummy_variables!K45</f>
        <v>598867.26953399996</v>
      </c>
      <c r="F43">
        <f t="shared" si="0"/>
        <v>6310.7304660000373</v>
      </c>
    </row>
    <row r="44" spans="1:6">
      <c r="A44" s="8" t="s">
        <v>32</v>
      </c>
      <c r="B44" t="s">
        <v>15</v>
      </c>
      <c r="C44" t="s">
        <v>28</v>
      </c>
      <c r="D44">
        <v>532644.46</v>
      </c>
      <c r="E44">
        <f>48902.8015+1.1916*cleaned_data!E43+33.6481*cleaned_data!F43-47714.01*cleaned_data!G43+3060.02*cleaned_data!I43+12599.55*cleaned_data!L43+13910.89*cleaned_data!K43+6379.19*dummy_variables!F43+18875.59*dummy_variables!G43+19293.73*dummy_variables!H43+41615.6*dummy_variables!I43+18404.23*dummy_variables!J43+29423.23*dummy_variables!K43</f>
        <v>521210.09017799998</v>
      </c>
      <c r="F44">
        <f t="shared" si="0"/>
        <v>11434.369821999979</v>
      </c>
    </row>
    <row r="45" spans="1:6">
      <c r="A45" s="8" t="s">
        <v>32</v>
      </c>
      <c r="B45" t="s">
        <v>15</v>
      </c>
      <c r="C45" t="s">
        <v>28</v>
      </c>
      <c r="D45">
        <v>657429.18000000005</v>
      </c>
      <c r="E45">
        <f>48902.8015+1.1916*cleaned_data!E44+33.6481*cleaned_data!F44-47714.01*cleaned_data!G44+3060.02*cleaned_data!I44+12599.55*cleaned_data!L44+13910.89*cleaned_data!K44+6379.19*dummy_variables!F44+18875.59*dummy_variables!G44+19293.73*dummy_variables!H44+41615.6*dummy_variables!I44+18404.23*dummy_variables!J44+29423.23*dummy_variables!K44</f>
        <v>600600.30488399998</v>
      </c>
      <c r="F45">
        <f t="shared" si="0"/>
        <v>56828.875116000068</v>
      </c>
    </row>
    <row r="46" spans="1:6">
      <c r="A46" s="8" t="s">
        <v>33</v>
      </c>
      <c r="B46" t="s">
        <v>27</v>
      </c>
      <c r="C46" t="s">
        <v>16</v>
      </c>
      <c r="D46">
        <v>595467.6</v>
      </c>
      <c r="E46">
        <f>48902.8015+1.1916*cleaned_data!E46+33.6481*cleaned_data!F46-47714.01*cleaned_data!G46+3060.02*cleaned_data!I46+12599.55*cleaned_data!L46+13910.89*cleaned_data!K46+6379.19*dummy_variables!F46+18875.59*dummy_variables!G46+19293.73*dummy_variables!H46+41615.6*dummy_variables!I46+18404.23*dummy_variables!J46+29423.23*dummy_variables!K46</f>
        <v>714125.71511600004</v>
      </c>
      <c r="F46">
        <f t="shared" si="0"/>
        <v>-118658.11511600006</v>
      </c>
    </row>
    <row r="47" spans="1:6">
      <c r="A47" s="8" t="s">
        <v>33</v>
      </c>
      <c r="B47" t="s">
        <v>27</v>
      </c>
      <c r="C47" t="s">
        <v>16</v>
      </c>
      <c r="D47">
        <v>599603.4</v>
      </c>
      <c r="E47">
        <f>48902.8015+1.1916*cleaned_data!E47+33.6481*cleaned_data!F47-47714.01*cleaned_data!G47+3060.02*cleaned_data!I47+12599.55*cleaned_data!L47+13910.89*cleaned_data!K47+6379.19*dummy_variables!F47+18875.59*dummy_variables!G47+19293.73*dummy_variables!H47+41615.6*dummy_variables!I47+18404.23*dummy_variables!J47+29423.23*dummy_variables!K47</f>
        <v>628692.42038600007</v>
      </c>
      <c r="F47">
        <f t="shared" si="0"/>
        <v>-29089.020386000047</v>
      </c>
    </row>
    <row r="48" spans="1:6">
      <c r="A48" s="8" t="s">
        <v>33</v>
      </c>
      <c r="B48" t="s">
        <v>27</v>
      </c>
      <c r="C48" t="s">
        <v>16</v>
      </c>
      <c r="D48">
        <v>585365.73</v>
      </c>
      <c r="E48">
        <f>48902.8015+1.1916*cleaned_data!E49+33.6481*cleaned_data!F49-47714.01*cleaned_data!G49+3060.02*cleaned_data!I49+12599.55*cleaned_data!L49+13910.89*cleaned_data!K49+6379.19*dummy_variables!F49+18875.59*dummy_variables!G49+19293.73*dummy_variables!H49+41615.6*dummy_variables!I49+18404.23*dummy_variables!J49+29423.23*dummy_variables!K49</f>
        <v>558902.51409399998</v>
      </c>
      <c r="F48">
        <f t="shared" si="0"/>
        <v>26463.215905999998</v>
      </c>
    </row>
    <row r="49" spans="1:6">
      <c r="A49" s="8" t="s">
        <v>33</v>
      </c>
      <c r="B49" t="s">
        <v>27</v>
      </c>
      <c r="C49" t="s">
        <v>16</v>
      </c>
      <c r="D49">
        <v>614800.09</v>
      </c>
      <c r="E49">
        <f>48902.8015+1.1916*cleaned_data!E48+33.6481*cleaned_data!F48-47714.01*cleaned_data!G48+3060.02*cleaned_data!I48+12599.55*cleaned_data!L48+13910.89*cleaned_data!K48+6379.19*dummy_variables!F48+18875.59*dummy_variables!G48+19293.73*dummy_variables!H48+41615.6*dummy_variables!I48+18404.23*dummy_variables!J48+29423.23*dummy_variables!K48</f>
        <v>582819.50211000012</v>
      </c>
      <c r="F49">
        <f t="shared" si="0"/>
        <v>31980.58788999985</v>
      </c>
    </row>
    <row r="50" spans="1:6">
      <c r="A50" s="8" t="s">
        <v>34</v>
      </c>
      <c r="B50" t="s">
        <v>20</v>
      </c>
      <c r="C50" t="s">
        <v>28</v>
      </c>
      <c r="D50">
        <v>622811.74</v>
      </c>
      <c r="E50">
        <f>48902.8015+1.1916*cleaned_data!E50+33.6481*cleaned_data!F50-47714.01*cleaned_data!G50+3060.02*cleaned_data!I50+12599.55*cleaned_data!L50+13910.89*cleaned_data!K50+6379.19*dummy_variables!F50+18875.59*dummy_variables!G50+19293.73*dummy_variables!H50+41615.6*dummy_variables!I50+18404.23*dummy_variables!J50+29423.23*dummy_variables!K50</f>
        <v>677670.23578999995</v>
      </c>
      <c r="F50">
        <f t="shared" si="0"/>
        <v>-54858.495789999957</v>
      </c>
    </row>
    <row r="51" spans="1:6">
      <c r="A51" s="8" t="s">
        <v>34</v>
      </c>
      <c r="B51" t="s">
        <v>20</v>
      </c>
      <c r="C51" t="s">
        <v>28</v>
      </c>
      <c r="D51">
        <v>603297.56999999995</v>
      </c>
      <c r="E51">
        <f>48902.8015+1.1916*cleaned_data!E51+33.6481*cleaned_data!F51-47714.01*cleaned_data!G51+3060.02*cleaned_data!I51+12599.55*cleaned_data!L51+13910.89*cleaned_data!K51+6379.19*dummy_variables!F51+18875.59*dummy_variables!G51+19293.73*dummy_variables!H51+41615.6*dummy_variables!I51+18404.23*dummy_variables!J51+29423.23*dummy_variables!K51</f>
        <v>595807.48678399995</v>
      </c>
      <c r="F51">
        <f t="shared" si="0"/>
        <v>7490.0832159999991</v>
      </c>
    </row>
    <row r="52" spans="1:6">
      <c r="A52" s="8" t="s">
        <v>34</v>
      </c>
      <c r="B52" t="s">
        <v>20</v>
      </c>
      <c r="C52" t="s">
        <v>28</v>
      </c>
      <c r="D52">
        <v>625672.86</v>
      </c>
      <c r="E52">
        <f>48902.8015+1.1916*cleaned_data!E52+33.6481*cleaned_data!F52-47714.01*cleaned_data!G52+3060.02*cleaned_data!I52+12599.55*cleaned_data!L52+13910.89*cleaned_data!K52+6379.19*dummy_variables!F52+18875.59*dummy_variables!G52+19293.73*dummy_variables!H52+41615.6*dummy_variables!I52+18404.23*dummy_variables!J52+29423.23*dummy_variables!K52</f>
        <v>617874.60947999987</v>
      </c>
      <c r="F52">
        <f t="shared" si="0"/>
        <v>7798.2505200001178</v>
      </c>
    </row>
    <row r="53" spans="1:6">
      <c r="A53" s="8" t="s">
        <v>34</v>
      </c>
      <c r="B53" t="s">
        <v>20</v>
      </c>
      <c r="C53" t="s">
        <v>28</v>
      </c>
      <c r="D53">
        <v>773815.14</v>
      </c>
      <c r="E53">
        <f>48902.8015+1.1916*cleaned_data!E53+33.6481*cleaned_data!F53-47714.01*cleaned_data!G53+3060.02*cleaned_data!I53+12599.55*cleaned_data!L53+13910.89*cleaned_data!K53+6379.19*dummy_variables!F53+18875.59*dummy_variables!G53+19293.73*dummy_variables!H53+41615.6*dummy_variables!I53+18404.23*dummy_variables!J53+29423.23*dummy_variables!K53</f>
        <v>746723.87898399984</v>
      </c>
      <c r="F53">
        <f t="shared" si="0"/>
        <v>27091.261016000179</v>
      </c>
    </row>
    <row r="54" spans="1:6">
      <c r="A54" s="8" t="s">
        <v>35</v>
      </c>
      <c r="B54" t="s">
        <v>27</v>
      </c>
      <c r="C54" t="s">
        <v>18</v>
      </c>
      <c r="D54">
        <v>463534.25</v>
      </c>
      <c r="E54">
        <f>48902.8015+1.1916*cleaned_data!E54+33.6481*cleaned_data!F54-47714.01*cleaned_data!G54+3060.02*cleaned_data!I54+12599.55*cleaned_data!L54+13910.89*cleaned_data!K54+6379.19*dummy_variables!F54+18875.59*dummy_variables!G54+19293.73*dummy_variables!H54+41615.6*dummy_variables!I54+18404.23*dummy_variables!J54+29423.23*dummy_variables!K54</f>
        <v>563052.91566599999</v>
      </c>
      <c r="F54">
        <f t="shared" si="0"/>
        <v>-99518.665665999986</v>
      </c>
    </row>
    <row r="55" spans="1:6">
      <c r="A55" s="8" t="s">
        <v>35</v>
      </c>
      <c r="B55" t="s">
        <v>27</v>
      </c>
      <c r="C55" t="s">
        <v>18</v>
      </c>
      <c r="D55">
        <v>487464.91</v>
      </c>
      <c r="E55">
        <f>48902.8015+1.1916*cleaned_data!E57+33.6481*cleaned_data!F57-47714.01*cleaned_data!G57+3060.02*cleaned_data!I57+12599.55*cleaned_data!L57+13910.89*cleaned_data!K57+6379.19*dummy_variables!F57+18875.59*dummy_variables!G57+19293.73*dummy_variables!H57+41615.6*dummy_variables!I57+18404.23*dummy_variables!J57+29423.23*dummy_variables!K57</f>
        <v>537172.81975999998</v>
      </c>
      <c r="F55">
        <f t="shared" si="0"/>
        <v>-49707.90976000001</v>
      </c>
    </row>
    <row r="56" spans="1:6">
      <c r="A56" s="8" t="s">
        <v>35</v>
      </c>
      <c r="B56" t="s">
        <v>27</v>
      </c>
      <c r="C56" t="s">
        <v>18</v>
      </c>
      <c r="D56">
        <v>746677.75</v>
      </c>
      <c r="E56">
        <f>48902.8015+1.1916*cleaned_data!E55+33.6481*cleaned_data!F55-47714.01*cleaned_data!G55+3060.02*cleaned_data!I55+12599.55*cleaned_data!L55+13910.89*cleaned_data!K55+6379.19*dummy_variables!F55+18875.59*dummy_variables!G55+19293.73*dummy_variables!H55+41615.6*dummy_variables!I55+18404.23*dummy_variables!J55+29423.23*dummy_variables!K55</f>
        <v>721837.58489599999</v>
      </c>
      <c r="F56">
        <f t="shared" si="0"/>
        <v>24840.165104000014</v>
      </c>
    </row>
    <row r="57" spans="1:6">
      <c r="A57" s="8" t="s">
        <v>35</v>
      </c>
      <c r="B57" t="s">
        <v>27</v>
      </c>
      <c r="C57" t="s">
        <v>18</v>
      </c>
      <c r="D57">
        <v>720852.5</v>
      </c>
      <c r="E57">
        <f>48902.8015+1.1916*cleaned_data!E56+33.6481*cleaned_data!F56-47714.01*cleaned_data!G56+3060.02*cleaned_data!I56+12599.55*cleaned_data!L56+13910.89*cleaned_data!K56+6379.19*dummy_variables!F56+18875.59*dummy_variables!G56+19293.73*dummy_variables!H56+41615.6*dummy_variables!I56+18404.23*dummy_variables!J56+29423.23*dummy_variables!K56</f>
        <v>687358.3788399999</v>
      </c>
      <c r="F57">
        <f t="shared" si="0"/>
        <v>33494.121160000097</v>
      </c>
    </row>
    <row r="58" spans="1:6">
      <c r="A58" s="8" t="s">
        <v>36</v>
      </c>
      <c r="B58" t="s">
        <v>15</v>
      </c>
      <c r="C58" t="s">
        <v>21</v>
      </c>
      <c r="D58">
        <v>553756.43000000005</v>
      </c>
      <c r="E58">
        <f>48902.8015+1.1916*cleaned_data!E61+33.6481*cleaned_data!F61-47714.01*cleaned_data!G61+3060.02*cleaned_data!I61+12599.55*cleaned_data!L61+13910.89*cleaned_data!K61+6379.19*dummy_variables!F61+18875.59*dummy_variables!G61+19293.73*dummy_variables!H61+41615.6*dummy_variables!I61+18404.23*dummy_variables!J61+29423.23*dummy_variables!K61</f>
        <v>606680.569472</v>
      </c>
      <c r="F58">
        <f t="shared" si="0"/>
        <v>-52924.139471999952</v>
      </c>
    </row>
    <row r="59" spans="1:6">
      <c r="A59" s="8" t="s">
        <v>36</v>
      </c>
      <c r="B59" t="s">
        <v>15</v>
      </c>
      <c r="C59" t="s">
        <v>21</v>
      </c>
      <c r="D59">
        <v>617291.15</v>
      </c>
      <c r="E59">
        <f>48902.8015+1.1916*cleaned_data!E60+33.6481*cleaned_data!F60-47714.01*cleaned_data!G60+3060.02*cleaned_data!I60+12599.55*cleaned_data!L60+13910.89*cleaned_data!K60+6379.19*dummy_variables!F60+18875.59*dummy_variables!G60+19293.73*dummy_variables!H60+41615.6*dummy_variables!I60+18404.23*dummy_variables!J60+29423.23*dummy_variables!K60</f>
        <v>666594.315298</v>
      </c>
      <c r="F59">
        <f t="shared" si="0"/>
        <v>-49303.165297999978</v>
      </c>
    </row>
    <row r="60" spans="1:6">
      <c r="A60" s="8" t="s">
        <v>36</v>
      </c>
      <c r="B60" t="s">
        <v>15</v>
      </c>
      <c r="C60" t="s">
        <v>21</v>
      </c>
      <c r="D60">
        <v>500298.48</v>
      </c>
      <c r="E60">
        <f>48902.8015+1.1916*cleaned_data!E59+33.6481*cleaned_data!F59-47714.01*cleaned_data!G59+3060.02*cleaned_data!I59+12599.55*cleaned_data!L59+13910.89*cleaned_data!K59+6379.19*dummy_variables!F59+18875.59*dummy_variables!G59+19293.73*dummy_variables!H59+41615.6*dummy_variables!I59+18404.23*dummy_variables!J59+29423.23*dummy_variables!K59</f>
        <v>523250.18989799998</v>
      </c>
      <c r="F60">
        <f t="shared" si="0"/>
        <v>-22951.709898000001</v>
      </c>
    </row>
    <row r="61" spans="1:6">
      <c r="A61" s="8" t="s">
        <v>36</v>
      </c>
      <c r="B61" t="s">
        <v>15</v>
      </c>
      <c r="C61" t="s">
        <v>21</v>
      </c>
      <c r="D61">
        <v>518049.26</v>
      </c>
      <c r="E61">
        <f>48902.8015+1.1916*cleaned_data!E58+33.6481*cleaned_data!F58-47714.01*cleaned_data!G58+3060.02*cleaned_data!I58+12599.55*cleaned_data!L58+13910.89*cleaned_data!K58+6379.19*dummy_variables!F58+18875.59*dummy_variables!G58+19293.73*dummy_variables!H58+41615.6*dummy_variables!I58+18404.23*dummy_variables!J58+29423.23*dummy_variables!K58</f>
        <v>527797.30979600002</v>
      </c>
      <c r="F61">
        <f t="shared" si="0"/>
        <v>-9748.0497960000066</v>
      </c>
    </row>
    <row r="62" spans="1:6">
      <c r="A62" s="8" t="s">
        <v>37</v>
      </c>
      <c r="B62" t="s">
        <v>24</v>
      </c>
      <c r="C62" t="s">
        <v>18</v>
      </c>
      <c r="D62">
        <v>572011.19999999995</v>
      </c>
      <c r="E62">
        <f>48902.8015+1.1916*cleaned_data!E64+33.6481*cleaned_data!F64-47714.01*cleaned_data!G64+3060.02*cleaned_data!I64+12599.55*cleaned_data!L64+13910.89*cleaned_data!K64+6379.19*dummy_variables!F64+18875.59*dummy_variables!G64+19293.73*dummy_variables!H64+41615.6*dummy_variables!I64+18404.23*dummy_variables!J64+29423.23*dummy_variables!K64</f>
        <v>583159.11707399995</v>
      </c>
      <c r="F62">
        <f t="shared" si="0"/>
        <v>-11147.917073999997</v>
      </c>
    </row>
    <row r="63" spans="1:6">
      <c r="A63" s="8" t="s">
        <v>37</v>
      </c>
      <c r="B63" t="s">
        <v>24</v>
      </c>
      <c r="C63" t="s">
        <v>18</v>
      </c>
      <c r="D63">
        <v>761860.19</v>
      </c>
      <c r="E63">
        <f>48902.8015+1.1916*cleaned_data!E65+33.6481*cleaned_data!F65-47714.01*cleaned_data!G65+3060.02*cleaned_data!I65+12599.55*cleaned_data!L65+13910.89*cleaned_data!K65+6379.19*dummy_variables!F65+18875.59*dummy_variables!G65+19293.73*dummy_variables!H65+41615.6*dummy_variables!I65+18404.23*dummy_variables!J65+29423.23*dummy_variables!K65</f>
        <v>718538.48041199998</v>
      </c>
      <c r="F63">
        <f t="shared" si="0"/>
        <v>43321.709587999969</v>
      </c>
    </row>
    <row r="64" spans="1:6">
      <c r="A64" s="8" t="s">
        <v>37</v>
      </c>
      <c r="B64" t="s">
        <v>24</v>
      </c>
      <c r="C64" t="s">
        <v>18</v>
      </c>
      <c r="D64">
        <v>615966.48</v>
      </c>
      <c r="E64">
        <f>48902.8015+1.1916*cleaned_data!E63+33.6481*cleaned_data!F63-47714.01*cleaned_data!G63+3060.02*cleaned_data!I63+12599.55*cleaned_data!L63+13910.89*cleaned_data!K63+6379.19*dummy_variables!F63+18875.59*dummy_variables!G63+19293.73*dummy_variables!H63+41615.6*dummy_variables!I63+18404.23*dummy_variables!J63+29423.23*dummy_variables!K63</f>
        <v>571819.94241599995</v>
      </c>
      <c r="F64">
        <f t="shared" si="0"/>
        <v>44146.537584000034</v>
      </c>
    </row>
    <row r="65" spans="1:6">
      <c r="A65" s="8" t="s">
        <v>37</v>
      </c>
      <c r="B65" t="s">
        <v>24</v>
      </c>
      <c r="C65" t="s">
        <v>18</v>
      </c>
      <c r="D65">
        <v>749559.71</v>
      </c>
      <c r="E65">
        <f>48902.8015+1.1916*cleaned_data!E62+33.6481*cleaned_data!F62-47714.01*cleaned_data!G62+3060.02*cleaned_data!I62+12599.55*cleaned_data!L62+13910.89*cleaned_data!K62+6379.19*dummy_variables!F62+18875.59*dummy_variables!G62+19293.73*dummy_variables!H62+41615.6*dummy_variables!I62+18404.23*dummy_variables!J62+29423.23*dummy_variables!K62</f>
        <v>690177.76744799979</v>
      </c>
      <c r="F65">
        <f t="shared" si="0"/>
        <v>59381.942552000168</v>
      </c>
    </row>
    <row r="66" spans="1:6">
      <c r="A66" s="8" t="s">
        <v>38</v>
      </c>
      <c r="B66" t="s">
        <v>27</v>
      </c>
      <c r="C66" t="s">
        <v>18</v>
      </c>
      <c r="D66">
        <v>685379.08</v>
      </c>
      <c r="E66">
        <f>48902.8015+1.1916*cleaned_data!E68+33.6481*cleaned_data!F68-47714.01*cleaned_data!G68+3060.02*cleaned_data!I68+12599.55*cleaned_data!L68+13910.89*cleaned_data!K68+6379.19*dummy_variables!F68+18875.59*dummy_variables!G68+19293.73*dummy_variables!H68+41615.6*dummy_variables!I68+18404.23*dummy_variables!J68+29423.23*dummy_variables!K68</f>
        <v>857418.08203999989</v>
      </c>
      <c r="F66">
        <f t="shared" ref="F66:F129" si="1">D66-E66</f>
        <v>-172039.00203999993</v>
      </c>
    </row>
    <row r="67" spans="1:6">
      <c r="A67" s="8" t="s">
        <v>38</v>
      </c>
      <c r="B67" t="s">
        <v>27</v>
      </c>
      <c r="C67" t="s">
        <v>18</v>
      </c>
      <c r="D67">
        <v>784502.68</v>
      </c>
      <c r="E67">
        <f>48902.8015+1.1916*cleaned_data!E66+33.6481*cleaned_data!F66-47714.01*cleaned_data!G66+3060.02*cleaned_data!I66+12599.55*cleaned_data!L66+13910.89*cleaned_data!K66+6379.19*dummy_variables!F66+18875.59*dummy_variables!G66+19293.73*dummy_variables!H66+41615.6*dummy_variables!I66+18404.23*dummy_variables!J66+29423.23*dummy_variables!K66</f>
        <v>821433.9753259999</v>
      </c>
      <c r="F67">
        <f t="shared" si="1"/>
        <v>-36931.295325999847</v>
      </c>
    </row>
    <row r="68" spans="1:6">
      <c r="A68" s="8" t="s">
        <v>38</v>
      </c>
      <c r="B68" t="s">
        <v>27</v>
      </c>
      <c r="C68" t="s">
        <v>18</v>
      </c>
      <c r="D68">
        <v>717141.55</v>
      </c>
      <c r="E68">
        <f>48902.8015+1.1916*cleaned_data!E67+33.6481*cleaned_data!F67-47714.01*cleaned_data!G67+3060.02*cleaned_data!I67+12599.55*cleaned_data!L67+13910.89*cleaned_data!K67+6379.19*dummy_variables!F67+18875.59*dummy_variables!G67+19293.73*dummy_variables!H67+41615.6*dummy_variables!I67+18404.23*dummy_variables!J67+29423.23*dummy_variables!K67</f>
        <v>738130.31494399987</v>
      </c>
      <c r="F68">
        <f t="shared" si="1"/>
        <v>-20988.76494399982</v>
      </c>
    </row>
    <row r="69" spans="1:6">
      <c r="A69" s="8" t="s">
        <v>38</v>
      </c>
      <c r="B69" t="s">
        <v>27</v>
      </c>
      <c r="C69" t="s">
        <v>18</v>
      </c>
      <c r="D69">
        <v>740496.65</v>
      </c>
      <c r="E69">
        <f>48902.8015+1.1916*cleaned_data!E69+33.6481*cleaned_data!F69-47714.01*cleaned_data!G69+3060.02*cleaned_data!I69+12599.55*cleaned_data!L69+13910.89*cleaned_data!K69+6379.19*dummy_variables!F69+18875.59*dummy_variables!G69+19293.73*dummy_variables!H69+41615.6*dummy_variables!I69+18404.23*dummy_variables!J69+29423.23*dummy_variables!K69</f>
        <v>734075.71938999998</v>
      </c>
      <c r="F69">
        <f t="shared" si="1"/>
        <v>6420.9306100000395</v>
      </c>
    </row>
    <row r="70" spans="1:6">
      <c r="A70" s="8" t="s">
        <v>39</v>
      </c>
      <c r="B70" t="s">
        <v>15</v>
      </c>
      <c r="C70" t="s">
        <v>18</v>
      </c>
      <c r="D70">
        <v>479050.5</v>
      </c>
      <c r="E70">
        <f>48902.8015+1.1916*cleaned_data!E71+33.6481*cleaned_data!F71-47714.01*cleaned_data!G71+3060.02*cleaned_data!I71+12599.55*cleaned_data!L71+13910.89*cleaned_data!K71+6379.19*dummy_variables!F71+18875.59*dummy_variables!G71+19293.73*dummy_variables!H71+41615.6*dummy_variables!I71+18404.23*dummy_variables!J71+29423.23*dummy_variables!K71</f>
        <v>489307.42900999996</v>
      </c>
      <c r="F70">
        <f t="shared" si="1"/>
        <v>-10256.929009999963</v>
      </c>
    </row>
    <row r="71" spans="1:6">
      <c r="A71" s="8" t="s">
        <v>39</v>
      </c>
      <c r="B71" t="s">
        <v>15</v>
      </c>
      <c r="C71" t="s">
        <v>18</v>
      </c>
      <c r="D71">
        <v>605023.87</v>
      </c>
      <c r="E71">
        <f>48902.8015+1.1916*cleaned_data!E72+33.6481*cleaned_data!F72-47714.01*cleaned_data!G72+3060.02*cleaned_data!I72+12599.55*cleaned_data!L72+13910.89*cleaned_data!K72+6379.19*dummy_variables!F72+18875.59*dummy_variables!G72+19293.73*dummy_variables!H72+41615.6*dummy_variables!I72+18404.23*dummy_variables!J72+29423.23*dummy_variables!K72</f>
        <v>580783.67554199998</v>
      </c>
      <c r="F71">
        <f t="shared" si="1"/>
        <v>24240.194458000013</v>
      </c>
    </row>
    <row r="72" spans="1:6">
      <c r="A72" s="8" t="s">
        <v>39</v>
      </c>
      <c r="B72" t="s">
        <v>15</v>
      </c>
      <c r="C72" t="s">
        <v>18</v>
      </c>
      <c r="D72">
        <v>674774.09</v>
      </c>
      <c r="E72">
        <f>48902.8015+1.1916*cleaned_data!E73+33.6481*cleaned_data!F73-47714.01*cleaned_data!G73+3060.02*cleaned_data!I73+12599.55*cleaned_data!L73+13910.89*cleaned_data!K73+6379.19*dummy_variables!F73+18875.59*dummy_variables!G73+19293.73*dummy_variables!H73+41615.6*dummy_variables!I73+18404.23*dummy_variables!J73+29423.23*dummy_variables!K73</f>
        <v>629164.05089600012</v>
      </c>
      <c r="F72">
        <f t="shared" si="1"/>
        <v>45610.03910399985</v>
      </c>
    </row>
    <row r="73" spans="1:6">
      <c r="A73" s="8" t="s">
        <v>39</v>
      </c>
      <c r="B73" t="s">
        <v>15</v>
      </c>
      <c r="C73" t="s">
        <v>18</v>
      </c>
      <c r="D73">
        <v>661927.14</v>
      </c>
      <c r="E73">
        <f>48902.8015+1.1916*cleaned_data!E70+33.6481*cleaned_data!F70-47714.01*cleaned_data!G70+3060.02*cleaned_data!I70+12599.55*cleaned_data!L70+13910.89*cleaned_data!K70+6379.19*dummy_variables!F70+18875.59*dummy_variables!G70+19293.73*dummy_variables!H70+41615.6*dummy_variables!I70+18404.23*dummy_variables!J70+29423.23*dummy_variables!K70</f>
        <v>593598.273774</v>
      </c>
      <c r="F73">
        <f t="shared" si="1"/>
        <v>68328.866226000013</v>
      </c>
    </row>
    <row r="74" spans="1:6">
      <c r="A74" s="8" t="s">
        <v>40</v>
      </c>
      <c r="B74" t="s">
        <v>15</v>
      </c>
      <c r="C74" t="s">
        <v>16</v>
      </c>
      <c r="D74">
        <v>630829.93999999994</v>
      </c>
      <c r="E74">
        <f>48902.8015+1.1916*cleaned_data!E75+33.6481*cleaned_data!F75-47714.01*cleaned_data!G75+3060.02*cleaned_data!I75+12599.55*cleaned_data!L75+13910.89*cleaned_data!K75+6379.19*dummy_variables!F75+18875.59*dummy_variables!G75+19293.73*dummy_variables!H75+41615.6*dummy_variables!I75+18404.23*dummy_variables!J75+29423.23*dummy_variables!K75</f>
        <v>684247.17441199999</v>
      </c>
      <c r="F74">
        <f t="shared" si="1"/>
        <v>-53417.234412000049</v>
      </c>
    </row>
    <row r="75" spans="1:6">
      <c r="A75" s="8" t="s">
        <v>40</v>
      </c>
      <c r="B75" t="s">
        <v>15</v>
      </c>
      <c r="C75" t="s">
        <v>16</v>
      </c>
      <c r="D75">
        <v>680840.36</v>
      </c>
      <c r="E75">
        <f>48902.8015+1.1916*cleaned_data!E77+33.6481*cleaned_data!F77-47714.01*cleaned_data!G77+3060.02*cleaned_data!I77+12599.55*cleaned_data!L77+13910.89*cleaned_data!K77+6379.19*dummy_variables!F77+18875.59*dummy_variables!G77+19293.73*dummy_variables!H77+41615.6*dummy_variables!I77+18404.23*dummy_variables!J77+29423.23*dummy_variables!K77</f>
        <v>704298.716778</v>
      </c>
      <c r="F75">
        <f t="shared" si="1"/>
        <v>-23458.356778000016</v>
      </c>
    </row>
    <row r="76" spans="1:6">
      <c r="A76" s="8" t="s">
        <v>40</v>
      </c>
      <c r="B76" t="s">
        <v>15</v>
      </c>
      <c r="C76" t="s">
        <v>16</v>
      </c>
      <c r="D76">
        <v>616069.41</v>
      </c>
      <c r="E76">
        <f>48902.8015+1.1916*cleaned_data!E74+33.6481*cleaned_data!F74-47714.01*cleaned_data!G74+3060.02*cleaned_data!I74+12599.55*cleaned_data!L74+13910.89*cleaned_data!K74+6379.19*dummy_variables!F74+18875.59*dummy_variables!G74+19293.73*dummy_variables!H74+41615.6*dummy_variables!I74+18404.23*dummy_variables!J74+29423.23*dummy_variables!K74</f>
        <v>587696.68726599996</v>
      </c>
      <c r="F76">
        <f t="shared" si="1"/>
        <v>28372.722734000068</v>
      </c>
    </row>
    <row r="77" spans="1:6">
      <c r="A77" s="8" t="s">
        <v>40</v>
      </c>
      <c r="B77" t="s">
        <v>15</v>
      </c>
      <c r="C77" t="s">
        <v>16</v>
      </c>
      <c r="D77">
        <v>788087.68</v>
      </c>
      <c r="E77">
        <f>48902.8015+1.1916*cleaned_data!E76+33.6481*cleaned_data!F76-47714.01*cleaned_data!G76+3060.02*cleaned_data!I76+12599.55*cleaned_data!L76+13910.89*cleaned_data!K76+6379.19*dummy_variables!F76+18875.59*dummy_variables!G76+19293.73*dummy_variables!H76+41615.6*dummy_variables!I76+18404.23*dummy_variables!J76+29423.23*dummy_variables!K76</f>
        <v>705980.01316799992</v>
      </c>
      <c r="F77">
        <f t="shared" si="1"/>
        <v>82107.666832000134</v>
      </c>
    </row>
    <row r="78" spans="1:6">
      <c r="A78" s="8" t="s">
        <v>41</v>
      </c>
      <c r="B78" t="s">
        <v>24</v>
      </c>
      <c r="C78" t="s">
        <v>18</v>
      </c>
      <c r="D78">
        <v>643657.47</v>
      </c>
      <c r="E78">
        <f>48902.8015+1.1916*cleaned_data!E78+33.6481*cleaned_data!F78-47714.01*cleaned_data!G78+3060.02*cleaned_data!I78+12599.55*cleaned_data!L78+13910.89*cleaned_data!K78+6379.19*dummy_variables!F78+18875.59*dummy_variables!G78+19293.73*dummy_variables!H78+41615.6*dummy_variables!I78+18404.23*dummy_variables!J78+29423.23*dummy_variables!K78</f>
        <v>665457.10798799992</v>
      </c>
      <c r="F78">
        <f t="shared" si="1"/>
        <v>-21799.637987999944</v>
      </c>
    </row>
    <row r="79" spans="1:6">
      <c r="A79" s="8" t="s">
        <v>41</v>
      </c>
      <c r="B79" t="s">
        <v>24</v>
      </c>
      <c r="C79" t="s">
        <v>18</v>
      </c>
      <c r="D79">
        <v>636561.34</v>
      </c>
      <c r="E79">
        <f>48902.8015+1.1916*cleaned_data!E81+33.6481*cleaned_data!F81-47714.01*cleaned_data!G81+3060.02*cleaned_data!I81+12599.55*cleaned_data!L81+13910.89*cleaned_data!K81+6379.19*dummy_variables!F81+18875.59*dummy_variables!G81+19293.73*dummy_variables!H81+41615.6*dummy_variables!I81+18404.23*dummy_variables!J81+29423.23*dummy_variables!K81</f>
        <v>657215.30721999996</v>
      </c>
      <c r="F79">
        <f t="shared" si="1"/>
        <v>-20653.967219999991</v>
      </c>
    </row>
    <row r="80" spans="1:6">
      <c r="A80" s="8" t="s">
        <v>41</v>
      </c>
      <c r="B80" t="s">
        <v>24</v>
      </c>
      <c r="C80" t="s">
        <v>18</v>
      </c>
      <c r="D80">
        <v>691112.6</v>
      </c>
      <c r="E80">
        <f>48902.8015+1.1916*cleaned_data!E79+33.6481*cleaned_data!F79-47714.01*cleaned_data!G79+3060.02*cleaned_data!I79+12599.55*cleaned_data!L79+13910.89*cleaned_data!K79+6379.19*dummy_variables!F79+18875.59*dummy_variables!G79+19293.73*dummy_variables!H79+41615.6*dummy_variables!I79+18404.23*dummy_variables!J79+29423.23*dummy_variables!K79</f>
        <v>646989.7523719999</v>
      </c>
      <c r="F80">
        <f t="shared" si="1"/>
        <v>44122.847628000076</v>
      </c>
    </row>
    <row r="81" spans="1:6">
      <c r="A81" s="8" t="s">
        <v>41</v>
      </c>
      <c r="B81" t="s">
        <v>24</v>
      </c>
      <c r="C81" t="s">
        <v>18</v>
      </c>
      <c r="D81">
        <v>776922.17</v>
      </c>
      <c r="E81">
        <f>48902.8015+1.1916*cleaned_data!E80+33.6481*cleaned_data!F80-47714.01*cleaned_data!G80+3060.02*cleaned_data!I80+12599.55*cleaned_data!L80+13910.89*cleaned_data!K80+6379.19*dummy_variables!F80+18875.59*dummy_variables!G80+19293.73*dummy_variables!H80+41615.6*dummy_variables!I80+18404.23*dummy_variables!J80+29423.23*dummy_variables!K80</f>
        <v>722415.94817600003</v>
      </c>
      <c r="F81">
        <f t="shared" si="1"/>
        <v>54506.221824000007</v>
      </c>
    </row>
    <row r="82" spans="1:6">
      <c r="A82" s="8" t="s">
        <v>42</v>
      </c>
      <c r="B82" t="s">
        <v>27</v>
      </c>
      <c r="C82" t="s">
        <v>28</v>
      </c>
      <c r="D82">
        <v>621369.57999999996</v>
      </c>
      <c r="E82">
        <f>48902.8015+1.1916*cleaned_data!E82+33.6481*cleaned_data!F82-47714.01*cleaned_data!G82+3060.02*cleaned_data!I82+12599.55*cleaned_data!L82+13910.89*cleaned_data!K82+6379.19*dummy_variables!F82+18875.59*dummy_variables!G82+19293.73*dummy_variables!H82+41615.6*dummy_variables!I82+18404.23*dummy_variables!J82+29423.23*dummy_variables!K82</f>
        <v>658354.5942259999</v>
      </c>
      <c r="F82">
        <f t="shared" si="1"/>
        <v>-36985.014225999941</v>
      </c>
    </row>
    <row r="83" spans="1:6">
      <c r="A83" s="8" t="s">
        <v>42</v>
      </c>
      <c r="B83" t="s">
        <v>27</v>
      </c>
      <c r="C83" t="s">
        <v>28</v>
      </c>
      <c r="D83">
        <v>569100.78</v>
      </c>
      <c r="E83">
        <f>48902.8015+1.1916*cleaned_data!E85+33.6481*cleaned_data!F85-47714.01*cleaned_data!G85+3060.02*cleaned_data!I85+12599.55*cleaned_data!L85+13910.89*cleaned_data!K85+6379.19*dummy_variables!F85+18875.59*dummy_variables!G85+19293.73*dummy_variables!H85+41615.6*dummy_variables!I85+18404.23*dummy_variables!J85+29423.23*dummy_variables!K85</f>
        <v>568142.16713599989</v>
      </c>
      <c r="F83">
        <f t="shared" si="1"/>
        <v>958.61286400014069</v>
      </c>
    </row>
    <row r="84" spans="1:6">
      <c r="A84" s="8" t="s">
        <v>42</v>
      </c>
      <c r="B84" t="s">
        <v>27</v>
      </c>
      <c r="C84" t="s">
        <v>28</v>
      </c>
      <c r="D84">
        <v>682208.01</v>
      </c>
      <c r="E84">
        <f>48902.8015+1.1916*cleaned_data!E83+33.6481*cleaned_data!F83-47714.01*cleaned_data!G83+3060.02*cleaned_data!I83+12599.55*cleaned_data!L83+13910.89*cleaned_data!K83+6379.19*dummy_variables!F83+18875.59*dummy_variables!G83+19293.73*dummy_variables!H83+41615.6*dummy_variables!I83+18404.23*dummy_variables!J83+29423.23*dummy_variables!K83</f>
        <v>647235.12325800001</v>
      </c>
      <c r="F84">
        <f t="shared" si="1"/>
        <v>34972.886742000002</v>
      </c>
    </row>
    <row r="85" spans="1:6">
      <c r="A85" s="8" t="s">
        <v>42</v>
      </c>
      <c r="B85" t="s">
        <v>27</v>
      </c>
      <c r="C85" t="s">
        <v>28</v>
      </c>
      <c r="D85">
        <v>727241.86</v>
      </c>
      <c r="E85">
        <f>48902.8015+1.1916*cleaned_data!E84+33.6481*cleaned_data!F84-47714.01*cleaned_data!G84+3060.02*cleaned_data!I84+12599.55*cleaned_data!L84+13910.89*cleaned_data!K84+6379.19*dummy_variables!F84+18875.59*dummy_variables!G84+19293.73*dummy_variables!H84+41615.6*dummy_variables!I84+18404.23*dummy_variables!J84+29423.23*dummy_variables!K84</f>
        <v>661025.65948399995</v>
      </c>
      <c r="F85">
        <f t="shared" si="1"/>
        <v>66216.200516000041</v>
      </c>
    </row>
    <row r="86" spans="1:6">
      <c r="A86" s="8" t="s">
        <v>43</v>
      </c>
      <c r="B86" t="s">
        <v>27</v>
      </c>
      <c r="C86" t="s">
        <v>18</v>
      </c>
      <c r="D86">
        <v>611766.72</v>
      </c>
      <c r="E86">
        <f>48902.8015+1.1916*cleaned_data!E87+33.6481*cleaned_data!F87-47714.01*cleaned_data!G87+3060.02*cleaned_data!I87+12599.55*cleaned_data!L87+13910.89*cleaned_data!K87+6379.19*dummy_variables!F87+18875.59*dummy_variables!G87+19293.73*dummy_variables!H87+41615.6*dummy_variables!I87+18404.23*dummy_variables!J87+29423.23*dummy_variables!K87</f>
        <v>647242.34717199986</v>
      </c>
      <c r="F86">
        <f t="shared" si="1"/>
        <v>-35475.627171999891</v>
      </c>
    </row>
    <row r="87" spans="1:6">
      <c r="A87" s="8" t="s">
        <v>43</v>
      </c>
      <c r="B87" t="s">
        <v>27</v>
      </c>
      <c r="C87" t="s">
        <v>18</v>
      </c>
      <c r="D87">
        <v>450711.92</v>
      </c>
      <c r="E87">
        <f>48902.8015+1.1916*cleaned_data!E89+33.6481*cleaned_data!F89-47714.01*cleaned_data!G89+3060.02*cleaned_data!I89+12599.55*cleaned_data!L89+13910.89*cleaned_data!K89+6379.19*dummy_variables!F89+18875.59*dummy_variables!G89+19293.73*dummy_variables!H89+41615.6*dummy_variables!I89+18404.23*dummy_variables!J89+29423.23*dummy_variables!K89</f>
        <v>467058.50896199996</v>
      </c>
      <c r="F87">
        <f t="shared" si="1"/>
        <v>-16346.58896199998</v>
      </c>
    </row>
    <row r="88" spans="1:6">
      <c r="A88" s="8" t="s">
        <v>43</v>
      </c>
      <c r="B88" t="s">
        <v>27</v>
      </c>
      <c r="C88" t="s">
        <v>18</v>
      </c>
      <c r="D88">
        <v>614596.31999999995</v>
      </c>
      <c r="E88">
        <f>48902.8015+1.1916*cleaned_data!E88+33.6481*cleaned_data!F88-47714.01*cleaned_data!G88+3060.02*cleaned_data!I88+12599.55*cleaned_data!L88+13910.89*cleaned_data!K88+6379.19*dummy_variables!F88+18875.59*dummy_variables!G88+19293.73*dummy_variables!H88+41615.6*dummy_variables!I88+18404.23*dummy_variables!J88+29423.23*dummy_variables!K88</f>
        <v>629455.61666599987</v>
      </c>
      <c r="F88">
        <f t="shared" si="1"/>
        <v>-14859.296665999922</v>
      </c>
    </row>
    <row r="89" spans="1:6">
      <c r="A89" s="8" t="s">
        <v>43</v>
      </c>
      <c r="B89" t="s">
        <v>27</v>
      </c>
      <c r="C89" t="s">
        <v>18</v>
      </c>
      <c r="D89">
        <v>574436.29</v>
      </c>
      <c r="E89">
        <f>48902.8015+1.1916*cleaned_data!E86+33.6481*cleaned_data!F86-47714.01*cleaned_data!G86+3060.02*cleaned_data!I86+12599.55*cleaned_data!L86+13910.89*cleaned_data!K86+6379.19*dummy_variables!F86+18875.59*dummy_variables!G86+19293.73*dummy_variables!H86+41615.6*dummy_variables!I86+18404.23*dummy_variables!J86+29423.23*dummy_variables!K86</f>
        <v>574517.90039600001</v>
      </c>
      <c r="F89">
        <f t="shared" si="1"/>
        <v>-81.610395999974571</v>
      </c>
    </row>
    <row r="90" spans="1:6">
      <c r="A90" s="8" t="s">
        <v>44</v>
      </c>
      <c r="B90" t="s">
        <v>24</v>
      </c>
      <c r="C90" t="s">
        <v>28</v>
      </c>
      <c r="D90">
        <v>627171.9</v>
      </c>
      <c r="E90">
        <f>48902.8015+1.1916*cleaned_data!E91+33.6481*cleaned_data!F91-47714.01*cleaned_data!G91+3060.02*cleaned_data!I91+12599.55*cleaned_data!L91+13910.89*cleaned_data!K91+6379.19*dummy_variables!F91+18875.59*dummy_variables!G91+19293.73*dummy_variables!H91+41615.6*dummy_variables!I91+18404.23*dummy_variables!J91+29423.23*dummy_variables!K91</f>
        <v>769860.20393399987</v>
      </c>
      <c r="F90">
        <f t="shared" si="1"/>
        <v>-142688.30393399985</v>
      </c>
    </row>
    <row r="91" spans="1:6">
      <c r="A91" s="8" t="s">
        <v>44</v>
      </c>
      <c r="B91" t="s">
        <v>24</v>
      </c>
      <c r="C91" t="s">
        <v>28</v>
      </c>
      <c r="D91">
        <v>739852.58</v>
      </c>
      <c r="E91">
        <f>48902.8015+1.1916*cleaned_data!E92+33.6481*cleaned_data!F92-47714.01*cleaned_data!G92+3060.02*cleaned_data!I92+12599.55*cleaned_data!L92+13910.89*cleaned_data!K92+6379.19*dummy_variables!F92+18875.59*dummy_variables!G92+19293.73*dummy_variables!H92+41615.6*dummy_variables!I92+18404.23*dummy_variables!J92+29423.23*dummy_variables!K92</f>
        <v>734755.25690399995</v>
      </c>
      <c r="F91">
        <f t="shared" si="1"/>
        <v>5097.3230960000074</v>
      </c>
    </row>
    <row r="92" spans="1:6">
      <c r="A92" s="8" t="s">
        <v>44</v>
      </c>
      <c r="B92" t="s">
        <v>24</v>
      </c>
      <c r="C92" t="s">
        <v>28</v>
      </c>
      <c r="D92">
        <v>711213.46</v>
      </c>
      <c r="E92">
        <f>48902.8015+1.1916*cleaned_data!E90+33.6481*cleaned_data!F90-47714.01*cleaned_data!G90+3060.02*cleaned_data!I90+12599.55*cleaned_data!L90+13910.89*cleaned_data!K90+6379.19*dummy_variables!F90+18875.59*dummy_variables!G90+19293.73*dummy_variables!H90+41615.6*dummy_variables!I90+18404.23*dummy_variables!J90+29423.23*dummy_variables!K90</f>
        <v>700281.97591400007</v>
      </c>
      <c r="F92">
        <f t="shared" si="1"/>
        <v>10931.484085999895</v>
      </c>
    </row>
    <row r="93" spans="1:6">
      <c r="A93" s="8" t="s">
        <v>44</v>
      </c>
      <c r="B93" t="s">
        <v>24</v>
      </c>
      <c r="C93" t="s">
        <v>28</v>
      </c>
      <c r="D93">
        <v>586307.22</v>
      </c>
      <c r="E93">
        <f>48902.8015+1.1916*cleaned_data!E93+33.6481*cleaned_data!F93-47714.01*cleaned_data!G93+3060.02*cleaned_data!I93+12599.55*cleaned_data!L93+13910.89*cleaned_data!K93+6379.19*dummy_variables!F93+18875.59*dummy_variables!G93+19293.73*dummy_variables!H93+41615.6*dummy_variables!I93+18404.23*dummy_variables!J93+29423.23*dummy_variables!K93</f>
        <v>570230.16508599999</v>
      </c>
      <c r="F93">
        <f t="shared" si="1"/>
        <v>16077.054913999978</v>
      </c>
    </row>
    <row r="94" spans="1:6">
      <c r="A94" s="8" t="s">
        <v>45</v>
      </c>
      <c r="B94" t="s">
        <v>27</v>
      </c>
      <c r="C94" t="s">
        <v>16</v>
      </c>
      <c r="D94">
        <v>607898.12</v>
      </c>
      <c r="E94">
        <f>48902.8015+1.1916*cleaned_data!E97+33.6481*cleaned_data!F97-47714.01*cleaned_data!G97+3060.02*cleaned_data!I97+12599.55*cleaned_data!L97+13910.89*cleaned_data!K97+6379.19*dummy_variables!F97+18875.59*dummy_variables!G97+19293.73*dummy_variables!H97+41615.6*dummy_variables!I97+18404.23*dummy_variables!J97+29423.23*dummy_variables!K97</f>
        <v>624479.58239999996</v>
      </c>
      <c r="F94">
        <f t="shared" si="1"/>
        <v>-16581.46239999996</v>
      </c>
    </row>
    <row r="95" spans="1:6">
      <c r="A95" s="8" t="s">
        <v>45</v>
      </c>
      <c r="B95" t="s">
        <v>27</v>
      </c>
      <c r="C95" t="s">
        <v>16</v>
      </c>
      <c r="D95">
        <v>585937.48</v>
      </c>
      <c r="E95">
        <f>48902.8015+1.1916*cleaned_data!E94+33.6481*cleaned_data!F94-47714.01*cleaned_data!G94+3060.02*cleaned_data!I94+12599.55*cleaned_data!L94+13910.89*cleaned_data!K94+6379.19*dummy_variables!F94+18875.59*dummy_variables!G94+19293.73*dummy_variables!H94+41615.6*dummy_variables!I94+18404.23*dummy_variables!J94+29423.23*dummy_variables!K94</f>
        <v>593817.63710399996</v>
      </c>
      <c r="F95">
        <f t="shared" si="1"/>
        <v>-7880.1571039999835</v>
      </c>
    </row>
    <row r="96" spans="1:6">
      <c r="A96" s="8" t="s">
        <v>45</v>
      </c>
      <c r="B96" t="s">
        <v>27</v>
      </c>
      <c r="C96" t="s">
        <v>16</v>
      </c>
      <c r="D96">
        <v>753473.55</v>
      </c>
      <c r="E96">
        <f>48902.8015+1.1916*cleaned_data!E95+33.6481*cleaned_data!F95-47714.01*cleaned_data!G95+3060.02*cleaned_data!I95+12599.55*cleaned_data!L95+13910.89*cleaned_data!K95+6379.19*dummy_variables!F95+18875.59*dummy_variables!G95+19293.73*dummy_variables!H95+41615.6*dummy_variables!I95+18404.23*dummy_variables!J95+29423.23*dummy_variables!K95</f>
        <v>701349.73807999992</v>
      </c>
      <c r="F96">
        <f t="shared" si="1"/>
        <v>52123.811920000124</v>
      </c>
    </row>
    <row r="97" spans="1:6">
      <c r="A97" s="8" t="s">
        <v>45</v>
      </c>
      <c r="B97" t="s">
        <v>27</v>
      </c>
      <c r="C97" t="s">
        <v>16</v>
      </c>
      <c r="D97">
        <v>838250.32</v>
      </c>
      <c r="E97">
        <f>48902.8015+1.1916*cleaned_data!E96+33.6481*cleaned_data!F96-47714.01*cleaned_data!G96+3060.02*cleaned_data!I96+12599.55*cleaned_data!L96+13910.89*cleaned_data!K96+6379.19*dummy_variables!F96+18875.59*dummy_variables!G96+19293.73*dummy_variables!H96+41615.6*dummy_variables!I96+18404.23*dummy_variables!J96+29423.23*dummy_variables!K96</f>
        <v>778246.65397799993</v>
      </c>
      <c r="F97">
        <f t="shared" si="1"/>
        <v>60003.666022000019</v>
      </c>
    </row>
    <row r="98" spans="1:6">
      <c r="A98" s="8" t="s">
        <v>46</v>
      </c>
      <c r="B98" t="s">
        <v>27</v>
      </c>
      <c r="C98" t="s">
        <v>28</v>
      </c>
      <c r="D98">
        <v>605775.32999999996</v>
      </c>
      <c r="E98">
        <f>48902.8015+1.1916*cleaned_data!E100+33.6481*cleaned_data!F100-47714.01*cleaned_data!G100+3060.02*cleaned_data!I100+12599.55*cleaned_data!L100+13910.89*cleaned_data!K100+6379.19*dummy_variables!F100+18875.59*dummy_variables!G100+19293.73*dummy_variables!H100+41615.6*dummy_variables!I100+18404.23*dummy_variables!J100+29423.23*dummy_variables!K100</f>
        <v>627430.75342999992</v>
      </c>
      <c r="F98">
        <f t="shared" si="1"/>
        <v>-21655.423429999966</v>
      </c>
    </row>
    <row r="99" spans="1:6">
      <c r="A99" s="8" t="s">
        <v>46</v>
      </c>
      <c r="B99" t="s">
        <v>27</v>
      </c>
      <c r="C99" t="s">
        <v>28</v>
      </c>
      <c r="D99">
        <v>691113.62</v>
      </c>
      <c r="E99">
        <f>48902.8015+1.1916*cleaned_data!E98+33.6481*cleaned_data!F98-47714.01*cleaned_data!G98+3060.02*cleaned_data!I98+12599.55*cleaned_data!L98+13910.89*cleaned_data!K98+6379.19*dummy_variables!F98+18875.59*dummy_variables!G98+19293.73*dummy_variables!H98+41615.6*dummy_variables!I98+18404.23*dummy_variables!J98+29423.23*dummy_variables!K98</f>
        <v>711733.143882</v>
      </c>
      <c r="F99">
        <f t="shared" si="1"/>
        <v>-20619.523882000009</v>
      </c>
    </row>
    <row r="100" spans="1:6">
      <c r="A100" s="8" t="s">
        <v>46</v>
      </c>
      <c r="B100" t="s">
        <v>27</v>
      </c>
      <c r="C100" t="s">
        <v>28</v>
      </c>
      <c r="D100">
        <v>675177.68</v>
      </c>
      <c r="E100">
        <f>48902.8015+1.1916*cleaned_data!E101+33.6481*cleaned_data!F101-47714.01*cleaned_data!G101+3060.02*cleaned_data!I101+12599.55*cleaned_data!L101+13910.89*cleaned_data!K101+6379.19*dummy_variables!F101+18875.59*dummy_variables!G101+19293.73*dummy_variables!H101+41615.6*dummy_variables!I101+18404.23*dummy_variables!J101+29423.23*dummy_variables!K101</f>
        <v>665855.74046999996</v>
      </c>
      <c r="F100">
        <f t="shared" si="1"/>
        <v>9321.9395300000906</v>
      </c>
    </row>
    <row r="101" spans="1:6">
      <c r="A101" s="8" t="s">
        <v>46</v>
      </c>
      <c r="B101" t="s">
        <v>27</v>
      </c>
      <c r="C101" t="s">
        <v>28</v>
      </c>
      <c r="D101">
        <v>735509.4</v>
      </c>
      <c r="E101">
        <f>48902.8015+1.1916*cleaned_data!E99+33.6481*cleaned_data!F99-47714.01*cleaned_data!G99+3060.02*cleaned_data!I99+12599.55*cleaned_data!L99+13910.89*cleaned_data!K99+6379.19*dummy_variables!F99+18875.59*dummy_variables!G99+19293.73*dummy_variables!H99+41615.6*dummy_variables!I99+18404.23*dummy_variables!J99+29423.23*dummy_variables!K99</f>
        <v>673421.17891399993</v>
      </c>
      <c r="F101">
        <f t="shared" si="1"/>
        <v>62088.221086000092</v>
      </c>
    </row>
    <row r="102" spans="1:6">
      <c r="A102" s="8" t="s">
        <v>47</v>
      </c>
      <c r="B102" t="s">
        <v>15</v>
      </c>
      <c r="C102" t="s">
        <v>28</v>
      </c>
      <c r="D102">
        <v>586626.93999999994</v>
      </c>
      <c r="E102">
        <f>48902.8015+1.1916*cleaned_data!E103+33.6481*cleaned_data!F103-47714.01*cleaned_data!G103+3060.02*cleaned_data!I103+12599.55*cleaned_data!L103+13910.89*cleaned_data!K103+6379.19*dummy_variables!F103+18875.59*dummy_variables!G103+19293.73*dummy_variables!H103+41615.6*dummy_variables!I103+18404.23*dummy_variables!J103+29423.23*dummy_variables!K103</f>
        <v>628250.19671399996</v>
      </c>
      <c r="F102">
        <f t="shared" si="1"/>
        <v>-41623.256714000017</v>
      </c>
    </row>
    <row r="103" spans="1:6">
      <c r="A103" s="8" t="s">
        <v>47</v>
      </c>
      <c r="B103" t="s">
        <v>15</v>
      </c>
      <c r="C103" t="s">
        <v>28</v>
      </c>
      <c r="D103">
        <v>740102.64</v>
      </c>
      <c r="E103">
        <f>48902.8015+1.1916*cleaned_data!E104+33.6481*cleaned_data!F104-47714.01*cleaned_data!G104+3060.02*cleaned_data!I104+12599.55*cleaned_data!L104+13910.89*cleaned_data!K104+6379.19*dummy_variables!F104+18875.59*dummy_variables!G104+19293.73*dummy_variables!H104+41615.6*dummy_variables!I104+18404.23*dummy_variables!J104+29423.23*dummy_variables!K104</f>
        <v>722407.84989000007</v>
      </c>
      <c r="F103">
        <f t="shared" si="1"/>
        <v>17694.790109999944</v>
      </c>
    </row>
    <row r="104" spans="1:6">
      <c r="A104" s="8" t="s">
        <v>47</v>
      </c>
      <c r="B104" t="s">
        <v>15</v>
      </c>
      <c r="C104" t="s">
        <v>28</v>
      </c>
      <c r="D104">
        <v>635181.35</v>
      </c>
      <c r="E104">
        <f>48902.8015+1.1916*cleaned_data!E102+33.6481*cleaned_data!F102-47714.01*cleaned_data!G102+3060.02*cleaned_data!I102+12599.55*cleaned_data!L102+13910.89*cleaned_data!K102+6379.19*dummy_variables!F102+18875.59*dummy_variables!G102+19293.73*dummy_variables!H102+41615.6*dummy_variables!I102+18404.23*dummy_variables!J102+29423.23*dummy_variables!K102</f>
        <v>592094.958216</v>
      </c>
      <c r="F104">
        <f t="shared" si="1"/>
        <v>43086.391783999978</v>
      </c>
    </row>
    <row r="105" spans="1:6">
      <c r="A105" s="8" t="s">
        <v>47</v>
      </c>
      <c r="B105" t="s">
        <v>15</v>
      </c>
      <c r="C105" t="s">
        <v>28</v>
      </c>
      <c r="D105">
        <v>625514.04</v>
      </c>
      <c r="E105">
        <f>48902.8015+1.1916*cleaned_data!E105+33.6481*cleaned_data!F105-47714.01*cleaned_data!G105+3060.02*cleaned_data!I105+12599.55*cleaned_data!L105+13910.89*cleaned_data!K105+6379.19*dummy_variables!F105+18875.59*dummy_variables!G105+19293.73*dummy_variables!H105+41615.6*dummy_variables!I105+18404.23*dummy_variables!J105+29423.23*dummy_variables!K105</f>
        <v>539009.94432400004</v>
      </c>
      <c r="F105">
        <f t="shared" si="1"/>
        <v>86504.095675999997</v>
      </c>
    </row>
    <row r="106" spans="1:6">
      <c r="A106" s="8" t="s">
        <v>48</v>
      </c>
      <c r="B106" t="s">
        <v>27</v>
      </c>
      <c r="C106" t="s">
        <v>18</v>
      </c>
      <c r="D106">
        <v>783797.89</v>
      </c>
      <c r="E106">
        <f>48902.8015+1.1916*cleaned_data!E107+33.6481*cleaned_data!F107-47714.01*cleaned_data!G107+3060.02*cleaned_data!I107+12599.55*cleaned_data!L107+13910.89*cleaned_data!K107+6379.19*dummy_variables!F107+18875.59*dummy_variables!G107+19293.73*dummy_variables!H107+41615.6*dummy_variables!I107+18404.23*dummy_variables!J107+29423.23*dummy_variables!K107</f>
        <v>785675.92229999998</v>
      </c>
      <c r="F106">
        <f t="shared" si="1"/>
        <v>-1878.0322999999626</v>
      </c>
    </row>
    <row r="107" spans="1:6">
      <c r="A107" s="8" t="s">
        <v>48</v>
      </c>
      <c r="B107" t="s">
        <v>27</v>
      </c>
      <c r="C107" t="s">
        <v>18</v>
      </c>
      <c r="D107">
        <v>665594.93999999994</v>
      </c>
      <c r="E107">
        <f>48902.8015+1.1916*cleaned_data!E109+33.6481*cleaned_data!F109-47714.01*cleaned_data!G109+3060.02*cleaned_data!I109+12599.55*cleaned_data!L109+13910.89*cleaned_data!K109+6379.19*dummy_variables!F109+18875.59*dummy_variables!G109+19293.73*dummy_variables!H109+41615.6*dummy_variables!I109+18404.23*dummy_variables!J109+29423.23*dummy_variables!K109</f>
        <v>666834.37663800013</v>
      </c>
      <c r="F107">
        <f t="shared" si="1"/>
        <v>-1239.4366380001884</v>
      </c>
    </row>
    <row r="108" spans="1:6">
      <c r="A108" s="8" t="s">
        <v>48</v>
      </c>
      <c r="B108" t="s">
        <v>27</v>
      </c>
      <c r="C108" t="s">
        <v>18</v>
      </c>
      <c r="D108">
        <v>727227.2</v>
      </c>
      <c r="E108">
        <f>48902.8015+1.1916*cleaned_data!E106+33.6481*cleaned_data!F106-47714.01*cleaned_data!G106+3060.02*cleaned_data!I106+12599.55*cleaned_data!L106+13910.89*cleaned_data!K106+6379.19*dummy_variables!F106+18875.59*dummy_variables!G106+19293.73*dummy_variables!H106+41615.6*dummy_variables!I106+18404.23*dummy_variables!J106+29423.23*dummy_variables!K106</f>
        <v>687202.01268199994</v>
      </c>
      <c r="F108">
        <f t="shared" si="1"/>
        <v>40025.187318000011</v>
      </c>
    </row>
    <row r="109" spans="1:6">
      <c r="A109" s="8" t="s">
        <v>48</v>
      </c>
      <c r="B109" t="s">
        <v>27</v>
      </c>
      <c r="C109" t="s">
        <v>18</v>
      </c>
      <c r="D109">
        <v>795153.84</v>
      </c>
      <c r="E109">
        <f>48902.8015+1.1916*cleaned_data!E108+33.6481*cleaned_data!F108-47714.01*cleaned_data!G108+3060.02*cleaned_data!I108+12599.55*cleaned_data!L108+13910.89*cleaned_data!K108+6379.19*dummy_variables!F108+18875.59*dummy_variables!G108+19293.73*dummy_variables!H108+41615.6*dummy_variables!I108+18404.23*dummy_variables!J108+29423.23*dummy_variables!K108</f>
        <v>717881.84983799991</v>
      </c>
      <c r="F109">
        <f t="shared" si="1"/>
        <v>77271.99016200006</v>
      </c>
    </row>
    <row r="110" spans="1:6">
      <c r="A110" s="8" t="s">
        <v>49</v>
      </c>
      <c r="B110" t="s">
        <v>15</v>
      </c>
      <c r="C110" t="s">
        <v>28</v>
      </c>
      <c r="D110">
        <v>633494.21</v>
      </c>
      <c r="E110">
        <f>48902.8015+1.1916*cleaned_data!E112+33.6481*cleaned_data!F112-47714.01*cleaned_data!G112+3060.02*cleaned_data!I112+12599.55*cleaned_data!L112+13910.89*cleaned_data!K112+6379.19*dummy_variables!F112+18875.59*dummy_variables!G112+19293.73*dummy_variables!H112+41615.6*dummy_variables!I112+18404.23*dummy_variables!J112+29423.23*dummy_variables!K112</f>
        <v>654254.99754999997</v>
      </c>
      <c r="F110">
        <f t="shared" si="1"/>
        <v>-20760.787550000008</v>
      </c>
    </row>
    <row r="111" spans="1:6">
      <c r="A111" s="8" t="s">
        <v>49</v>
      </c>
      <c r="B111" t="s">
        <v>15</v>
      </c>
      <c r="C111" t="s">
        <v>28</v>
      </c>
      <c r="D111">
        <v>664162.49</v>
      </c>
      <c r="E111">
        <f>48902.8015+1.1916*cleaned_data!E111+33.6481*cleaned_data!F111-47714.01*cleaned_data!G111+3060.02*cleaned_data!I111+12599.55*cleaned_data!L111+13910.89*cleaned_data!K111+6379.19*dummy_variables!F111+18875.59*dummy_variables!G111+19293.73*dummy_variables!H111+41615.6*dummy_variables!I111+18404.23*dummy_variables!J111+29423.23*dummy_variables!K111</f>
        <v>644503.55559999996</v>
      </c>
      <c r="F111">
        <f t="shared" si="1"/>
        <v>19658.934400000027</v>
      </c>
    </row>
    <row r="112" spans="1:6">
      <c r="A112" s="8" t="s">
        <v>49</v>
      </c>
      <c r="B112" t="s">
        <v>15</v>
      </c>
      <c r="C112" t="s">
        <v>28</v>
      </c>
      <c r="D112">
        <v>709478.39</v>
      </c>
      <c r="E112">
        <f>48902.8015+1.1916*cleaned_data!E110+33.6481*cleaned_data!F110-47714.01*cleaned_data!G110+3060.02*cleaned_data!I110+12599.55*cleaned_data!L110+13910.89*cleaned_data!K110+6379.19*dummy_variables!F110+18875.59*dummy_variables!G110+19293.73*dummy_variables!H110+41615.6*dummy_variables!I110+18404.23*dummy_variables!J110+29423.23*dummy_variables!K110</f>
        <v>682834.88326200005</v>
      </c>
      <c r="F112">
        <f t="shared" si="1"/>
        <v>26643.506737999967</v>
      </c>
    </row>
    <row r="113" spans="1:6">
      <c r="A113" s="8" t="s">
        <v>49</v>
      </c>
      <c r="B113" t="s">
        <v>15</v>
      </c>
      <c r="C113" t="s">
        <v>28</v>
      </c>
      <c r="D113">
        <v>713611.16</v>
      </c>
      <c r="E113">
        <f>48902.8015+1.1916*cleaned_data!E113+33.6481*cleaned_data!F113-47714.01*cleaned_data!G113+3060.02*cleaned_data!I113+12599.55*cleaned_data!L113+13910.89*cleaned_data!K113+6379.19*dummy_variables!F113+18875.59*dummy_variables!G113+19293.73*dummy_variables!H113+41615.6*dummy_variables!I113+18404.23*dummy_variables!J113+29423.23*dummy_variables!K113</f>
        <v>599887.26694600005</v>
      </c>
      <c r="F113">
        <f t="shared" si="1"/>
        <v>113723.89305399999</v>
      </c>
    </row>
    <row r="114" spans="1:6">
      <c r="A114" s="8" t="s">
        <v>50</v>
      </c>
      <c r="B114" t="s">
        <v>27</v>
      </c>
      <c r="C114" t="s">
        <v>28</v>
      </c>
      <c r="D114">
        <v>697287.9</v>
      </c>
      <c r="E114">
        <f>48902.8015+1.1916*cleaned_data!E116+33.6481*cleaned_data!F116-47714.01*cleaned_data!G116+3060.02*cleaned_data!I116+12599.55*cleaned_data!L116+13910.89*cleaned_data!K116+6379.19*dummy_variables!F116+18875.59*dummy_variables!G116+19293.73*dummy_variables!H116+41615.6*dummy_variables!I116+18404.23*dummy_variables!J116+29423.23*dummy_variables!K116</f>
        <v>746265.39689800004</v>
      </c>
      <c r="F114">
        <f t="shared" si="1"/>
        <v>-48977.496898000012</v>
      </c>
    </row>
    <row r="115" spans="1:6">
      <c r="A115" s="8" t="s">
        <v>50</v>
      </c>
      <c r="B115" t="s">
        <v>27</v>
      </c>
      <c r="C115" t="s">
        <v>28</v>
      </c>
      <c r="D115">
        <v>718074.79</v>
      </c>
      <c r="E115">
        <f>48902.8015+1.1916*cleaned_data!E117+33.6481*cleaned_data!F117-47714.01*cleaned_data!G117+3060.02*cleaned_data!I117+12599.55*cleaned_data!L117+13910.89*cleaned_data!K117+6379.19*dummy_variables!F117+18875.59*dummy_variables!G117+19293.73*dummy_variables!H117+41615.6*dummy_variables!I117+18404.23*dummy_variables!J117+29423.23*dummy_variables!K117</f>
        <v>757799.48347400001</v>
      </c>
      <c r="F115">
        <f t="shared" si="1"/>
        <v>-39724.693473999971</v>
      </c>
    </row>
    <row r="116" spans="1:6">
      <c r="A116" s="8" t="s">
        <v>50</v>
      </c>
      <c r="B116" t="s">
        <v>27</v>
      </c>
      <c r="C116" t="s">
        <v>28</v>
      </c>
      <c r="D116">
        <v>873380.02</v>
      </c>
      <c r="E116">
        <f>48902.8015+1.1916*cleaned_data!E115+33.6481*cleaned_data!F115-47714.01*cleaned_data!G115+3060.02*cleaned_data!I115+12599.55*cleaned_data!L115+13910.89*cleaned_data!K115+6379.19*dummy_variables!F115+18875.59*dummy_variables!G115+19293.73*dummy_variables!H115+41615.6*dummy_variables!I115+18404.23*dummy_variables!J115+29423.23*dummy_variables!K115</f>
        <v>838327.63072400005</v>
      </c>
      <c r="F116">
        <f t="shared" si="1"/>
        <v>35052.389275999973</v>
      </c>
    </row>
    <row r="117" spans="1:6">
      <c r="A117" s="8" t="s">
        <v>50</v>
      </c>
      <c r="B117" t="s">
        <v>27</v>
      </c>
      <c r="C117" t="s">
        <v>28</v>
      </c>
      <c r="D117">
        <v>778397.97</v>
      </c>
      <c r="E117">
        <f>48902.8015+1.1916*cleaned_data!E114+33.6481*cleaned_data!F114-47714.01*cleaned_data!G114+3060.02*cleaned_data!I114+12599.55*cleaned_data!L114+13910.89*cleaned_data!K114+6379.19*dummy_variables!F114+18875.59*dummy_variables!G114+19293.73*dummy_variables!H114+41615.6*dummy_variables!I114+18404.23*dummy_variables!J114+29423.23*dummy_variables!K114</f>
        <v>737093.5046339999</v>
      </c>
      <c r="F117">
        <f t="shared" si="1"/>
        <v>41304.465366000077</v>
      </c>
    </row>
    <row r="118" spans="1:6">
      <c r="A118" s="8" t="s">
        <v>51</v>
      </c>
      <c r="B118" t="s">
        <v>27</v>
      </c>
      <c r="C118" t="s">
        <v>16</v>
      </c>
      <c r="D118">
        <v>684217.32</v>
      </c>
      <c r="E118">
        <f>48902.8015+1.1916*cleaned_data!E120+33.6481*cleaned_data!F120-47714.01*cleaned_data!G120+3060.02*cleaned_data!I120+12599.55*cleaned_data!L120+13910.89*cleaned_data!K120+6379.19*dummy_variables!F120+18875.59*dummy_variables!G120+19293.73*dummy_variables!H120+41615.6*dummy_variables!I120+18404.23*dummy_variables!J120+29423.23*dummy_variables!K120</f>
        <v>752973.33542199992</v>
      </c>
      <c r="F118">
        <f t="shared" si="1"/>
        <v>-68756.015421999968</v>
      </c>
    </row>
    <row r="119" spans="1:6">
      <c r="A119" s="8" t="s">
        <v>51</v>
      </c>
      <c r="B119" t="s">
        <v>27</v>
      </c>
      <c r="C119" t="s">
        <v>16</v>
      </c>
      <c r="D119">
        <v>714942.43</v>
      </c>
      <c r="E119">
        <f>48902.8015+1.1916*cleaned_data!E118+33.6481*cleaned_data!F118-47714.01*cleaned_data!G118+3060.02*cleaned_data!I118+12599.55*cleaned_data!L118+13910.89*cleaned_data!K118+6379.19*dummy_variables!F118+18875.59*dummy_variables!G118+19293.73*dummy_variables!H118+41615.6*dummy_variables!I118+18404.23*dummy_variables!J118+29423.23*dummy_variables!K118</f>
        <v>725938.46752399998</v>
      </c>
      <c r="F119">
        <f t="shared" si="1"/>
        <v>-10996.037523999927</v>
      </c>
    </row>
    <row r="120" spans="1:6">
      <c r="A120" s="8" t="s">
        <v>51</v>
      </c>
      <c r="B120" t="s">
        <v>27</v>
      </c>
      <c r="C120" t="s">
        <v>16</v>
      </c>
      <c r="D120">
        <v>735480.19</v>
      </c>
      <c r="E120">
        <f>48902.8015+1.1916*cleaned_data!E121+33.6481*cleaned_data!F121-47714.01*cleaned_data!G121+3060.02*cleaned_data!I121+12599.55*cleaned_data!L121+13910.89*cleaned_data!K121+6379.19*dummy_variables!F121+18875.59*dummy_variables!G121+19293.73*dummy_variables!H121+41615.6*dummy_variables!I121+18404.23*dummy_variables!J121+29423.23*dummy_variables!K121</f>
        <v>737683.26634799992</v>
      </c>
      <c r="F120">
        <f t="shared" si="1"/>
        <v>-2203.0763479999732</v>
      </c>
    </row>
    <row r="121" spans="1:6">
      <c r="A121" s="8" t="s">
        <v>51</v>
      </c>
      <c r="B121" t="s">
        <v>27</v>
      </c>
      <c r="C121" t="s">
        <v>16</v>
      </c>
      <c r="D121">
        <v>820519.04</v>
      </c>
      <c r="E121">
        <f>48902.8015+1.1916*cleaned_data!E119+33.6481*cleaned_data!F119-47714.01*cleaned_data!G119+3060.02*cleaned_data!I119+12599.55*cleaned_data!L119+13910.89*cleaned_data!K119+6379.19*dummy_variables!F119+18875.59*dummy_variables!G119+19293.73*dummy_variables!H119+41615.6*dummy_variables!I119+18404.23*dummy_variables!J119+29423.23*dummy_variables!K119</f>
        <v>729695.54630599986</v>
      </c>
      <c r="F121">
        <f t="shared" si="1"/>
        <v>90823.493694000179</v>
      </c>
    </row>
    <row r="122" spans="1:6">
      <c r="A122" s="8" t="s">
        <v>52</v>
      </c>
      <c r="B122" t="s">
        <v>20</v>
      </c>
      <c r="C122" t="s">
        <v>18</v>
      </c>
      <c r="D122">
        <v>441275.42</v>
      </c>
      <c r="E122">
        <f>48902.8015+1.1916*cleaned_data!E125+33.6481*cleaned_data!F125-47714.01*cleaned_data!G125+3060.02*cleaned_data!I125+12599.55*cleaned_data!L125+13910.89*cleaned_data!K125+6379.19*dummy_variables!F125+18875.59*dummy_variables!G125+19293.73*dummy_variables!H125+41615.6*dummy_variables!I125+18404.23*dummy_variables!J125+29423.23*dummy_variables!K125</f>
        <v>504937.29270799999</v>
      </c>
      <c r="F122">
        <f t="shared" si="1"/>
        <v>-63661.87270800001</v>
      </c>
    </row>
    <row r="123" spans="1:6">
      <c r="A123" s="8" t="s">
        <v>52</v>
      </c>
      <c r="B123" t="s">
        <v>20</v>
      </c>
      <c r="C123" t="s">
        <v>18</v>
      </c>
      <c r="D123">
        <v>509484.81</v>
      </c>
      <c r="E123">
        <f>48902.8015+1.1916*cleaned_data!E122+33.6481*cleaned_data!F122-47714.01*cleaned_data!G122+3060.02*cleaned_data!I122+12599.55*cleaned_data!L122+13910.89*cleaned_data!K122+6379.19*dummy_variables!F122+18875.59*dummy_variables!G122+19293.73*dummy_variables!H122+41615.6*dummy_variables!I122+18404.23*dummy_variables!J122+29423.23*dummy_variables!K122</f>
        <v>560859.82642799988</v>
      </c>
      <c r="F123">
        <f t="shared" si="1"/>
        <v>-51375.016427999886</v>
      </c>
    </row>
    <row r="124" spans="1:6">
      <c r="A124" s="8" t="s">
        <v>52</v>
      </c>
      <c r="B124" t="s">
        <v>20</v>
      </c>
      <c r="C124" t="s">
        <v>18</v>
      </c>
      <c r="D124">
        <v>557487.26</v>
      </c>
      <c r="E124">
        <f>48902.8015+1.1916*cleaned_data!E124+33.6481*cleaned_data!F124-47714.01*cleaned_data!G124+3060.02*cleaned_data!I124+12599.55*cleaned_data!L124+13910.89*cleaned_data!K124+6379.19*dummy_variables!F124+18875.59*dummy_variables!G124+19293.73*dummy_variables!H124+41615.6*dummy_variables!I124+18404.23*dummy_variables!J124+29423.23*dummy_variables!K124</f>
        <v>588270.28861799987</v>
      </c>
      <c r="F124">
        <f t="shared" si="1"/>
        <v>-30783.028617999866</v>
      </c>
    </row>
    <row r="125" spans="1:6">
      <c r="A125" s="8" t="s">
        <v>52</v>
      </c>
      <c r="B125" t="s">
        <v>20</v>
      </c>
      <c r="C125" t="s">
        <v>18</v>
      </c>
      <c r="D125">
        <v>654317.09</v>
      </c>
      <c r="E125">
        <f>48902.8015+1.1916*cleaned_data!E123+33.6481*cleaned_data!F123-47714.01*cleaned_data!G123+3060.02*cleaned_data!I123+12599.55*cleaned_data!L123+13910.89*cleaned_data!K123+6379.19*dummy_variables!F123+18875.59*dummy_variables!G123+19293.73*dummy_variables!H123+41615.6*dummy_variables!I123+18404.23*dummy_variables!J123+29423.23*dummy_variables!K123</f>
        <v>617121.8588719999</v>
      </c>
      <c r="F125">
        <f t="shared" si="1"/>
        <v>37195.231128000072</v>
      </c>
    </row>
    <row r="126" spans="1:6">
      <c r="A126" s="8" t="s">
        <v>53</v>
      </c>
      <c r="B126" t="s">
        <v>24</v>
      </c>
      <c r="C126" t="s">
        <v>18</v>
      </c>
      <c r="D126">
        <v>842439.67</v>
      </c>
      <c r="E126">
        <f>48902.8015+1.1916*cleaned_data!E127+33.6481*cleaned_data!F127-47714.01*cleaned_data!G127+3060.02*cleaned_data!I127+12599.55*cleaned_data!L127+13910.89*cleaned_data!K127+6379.19*dummy_variables!F127+18875.59*dummy_variables!G127+19293.73*dummy_variables!H127+41615.6*dummy_variables!I127+18404.23*dummy_variables!J127+29423.23*dummy_variables!K127</f>
        <v>860029.82253999996</v>
      </c>
      <c r="F126">
        <f t="shared" si="1"/>
        <v>-17590.152539999923</v>
      </c>
    </row>
    <row r="127" spans="1:6">
      <c r="A127" s="8" t="s">
        <v>53</v>
      </c>
      <c r="B127" t="s">
        <v>24</v>
      </c>
      <c r="C127" t="s">
        <v>18</v>
      </c>
      <c r="D127">
        <v>697155.3</v>
      </c>
      <c r="E127">
        <f>48902.8015+1.1916*cleaned_data!E129+33.6481*cleaned_data!F129-47714.01*cleaned_data!G129+3060.02*cleaned_data!I129+12599.55*cleaned_data!L129+13910.89*cleaned_data!K129+6379.19*dummy_variables!F129+18875.59*dummy_variables!G129+19293.73*dummy_variables!H129+41615.6*dummy_variables!I129+18404.23*dummy_variables!J129+29423.23*dummy_variables!K129</f>
        <v>713169.01723999996</v>
      </c>
      <c r="F127">
        <f t="shared" si="1"/>
        <v>-16013.717239999911</v>
      </c>
    </row>
    <row r="128" spans="1:6">
      <c r="A128" s="8" t="s">
        <v>53</v>
      </c>
      <c r="B128" t="s">
        <v>24</v>
      </c>
      <c r="C128" t="s">
        <v>18</v>
      </c>
      <c r="D128">
        <v>842157.92</v>
      </c>
      <c r="E128">
        <f>48902.8015+1.1916*cleaned_data!E128+33.6481*cleaned_data!F128-47714.01*cleaned_data!G128+3060.02*cleaned_data!I128+12599.55*cleaned_data!L128+13910.89*cleaned_data!K128+6379.19*dummy_variables!F128+18875.59*dummy_variables!G128+19293.73*dummy_variables!H128+41615.6*dummy_variables!I128+18404.23*dummy_variables!J128+29423.23*dummy_variables!K128</f>
        <v>811485.05149999994</v>
      </c>
      <c r="F128">
        <f t="shared" si="1"/>
        <v>30672.868500000099</v>
      </c>
    </row>
    <row r="129" spans="1:6">
      <c r="A129" s="8" t="s">
        <v>53</v>
      </c>
      <c r="B129" t="s">
        <v>24</v>
      </c>
      <c r="C129" t="s">
        <v>18</v>
      </c>
      <c r="D129">
        <v>914544.17</v>
      </c>
      <c r="E129">
        <f>48902.8015+1.1916*cleaned_data!E126+33.6481*cleaned_data!F126-47714.01*cleaned_data!G126+3060.02*cleaned_data!I126+12599.55*cleaned_data!L126+13910.89*cleaned_data!K126+6379.19*dummy_variables!F126+18875.59*dummy_variables!G126+19293.73*dummy_variables!H126+41615.6*dummy_variables!I126+18404.23*dummy_variables!J126+29423.23*dummy_variables!K126</f>
        <v>847428.44370599987</v>
      </c>
      <c r="F129">
        <f t="shared" si="1"/>
        <v>67115.726294000167</v>
      </c>
    </row>
    <row r="130" spans="1:6">
      <c r="A130" s="8" t="s">
        <v>54</v>
      </c>
      <c r="B130" t="s">
        <v>15</v>
      </c>
      <c r="C130" t="s">
        <v>18</v>
      </c>
      <c r="D130">
        <v>725235.28</v>
      </c>
      <c r="E130">
        <f>48902.8015+1.1916*cleaned_data!E132+33.6481*cleaned_data!F132-47714.01*cleaned_data!G132+3060.02*cleaned_data!I132+12599.55*cleaned_data!L132+13910.89*cleaned_data!K132+6379.19*dummy_variables!F132+18875.59*dummy_variables!G132+19293.73*dummy_variables!H132+41615.6*dummy_variables!I132+18404.23*dummy_variables!J132+29423.23*dummy_variables!K132</f>
        <v>802192.60566799995</v>
      </c>
      <c r="F130">
        <f t="shared" ref="F130:F193" si="2">D130-E130</f>
        <v>-76957.325667999918</v>
      </c>
    </row>
    <row r="131" spans="1:6">
      <c r="A131" s="8" t="s">
        <v>54</v>
      </c>
      <c r="B131" t="s">
        <v>15</v>
      </c>
      <c r="C131" t="s">
        <v>18</v>
      </c>
      <c r="D131">
        <v>811452.72</v>
      </c>
      <c r="E131">
        <f>48902.8015+1.1916*cleaned_data!E133+33.6481*cleaned_data!F133-47714.01*cleaned_data!G133+3060.02*cleaned_data!I133+12599.55*cleaned_data!L133+13910.89*cleaned_data!K133+6379.19*dummy_variables!F133+18875.59*dummy_variables!G133+19293.73*dummy_variables!H133+41615.6*dummy_variables!I133+18404.23*dummy_variables!J133+29423.23*dummy_variables!K133</f>
        <v>823659.70248999994</v>
      </c>
      <c r="F131">
        <f t="shared" si="2"/>
        <v>-12206.982489999966</v>
      </c>
    </row>
    <row r="132" spans="1:6">
      <c r="A132" s="8" t="s">
        <v>54</v>
      </c>
      <c r="B132" t="s">
        <v>15</v>
      </c>
      <c r="C132" t="s">
        <v>18</v>
      </c>
      <c r="D132">
        <v>801830.35</v>
      </c>
      <c r="E132">
        <f>48902.8015+1.1916*cleaned_data!E131+33.6481*cleaned_data!F131-47714.01*cleaned_data!G131+3060.02*cleaned_data!I131+12599.55*cleaned_data!L131+13910.89*cleaned_data!K131+6379.19*dummy_variables!F131+18875.59*dummy_variables!G131+19293.73*dummy_variables!H131+41615.6*dummy_variables!I131+18404.23*dummy_variables!J131+29423.23*dummy_variables!K131</f>
        <v>794355.78721800004</v>
      </c>
      <c r="F132">
        <f t="shared" si="2"/>
        <v>7474.5627819999354</v>
      </c>
    </row>
    <row r="133" spans="1:6">
      <c r="A133" s="8" t="s">
        <v>54</v>
      </c>
      <c r="B133" t="s">
        <v>15</v>
      </c>
      <c r="C133" t="s">
        <v>18</v>
      </c>
      <c r="D133">
        <v>849018.3</v>
      </c>
      <c r="E133">
        <f>48902.8015+1.1916*cleaned_data!E130+33.6481*cleaned_data!F130-47714.01*cleaned_data!G130+3060.02*cleaned_data!I130+12599.55*cleaned_data!L130+13910.89*cleaned_data!K130+6379.19*dummy_variables!F130+18875.59*dummy_variables!G130+19293.73*dummy_variables!H130+41615.6*dummy_variables!I130+18404.23*dummy_variables!J130+29423.23*dummy_variables!K130</f>
        <v>836299.97542799998</v>
      </c>
      <c r="F133">
        <f t="shared" si="2"/>
        <v>12718.32457200007</v>
      </c>
    </row>
    <row r="134" spans="1:6">
      <c r="A134" s="8" t="s">
        <v>55</v>
      </c>
      <c r="B134" t="s">
        <v>20</v>
      </c>
      <c r="C134" t="s">
        <v>18</v>
      </c>
      <c r="D134">
        <v>527300.13</v>
      </c>
      <c r="E134">
        <f>48902.8015+1.1916*cleaned_data!E134+33.6481*cleaned_data!F134-47714.01*cleaned_data!G134+3060.02*cleaned_data!I134+12599.55*cleaned_data!L134+13910.89*cleaned_data!K134+6379.19*dummy_variables!F134+18875.59*dummy_variables!G134+19293.73*dummy_variables!H134+41615.6*dummy_variables!I134+18404.23*dummy_variables!J134+29423.23*dummy_variables!K134</f>
        <v>580462.97625800001</v>
      </c>
      <c r="F134">
        <f t="shared" si="2"/>
        <v>-53162.846258000005</v>
      </c>
    </row>
    <row r="135" spans="1:6">
      <c r="A135" s="8" t="s">
        <v>55</v>
      </c>
      <c r="B135" t="s">
        <v>20</v>
      </c>
      <c r="C135" t="s">
        <v>18</v>
      </c>
      <c r="D135">
        <v>400831.65</v>
      </c>
      <c r="E135">
        <f>48902.8015+1.1916*cleaned_data!E135+33.6481*cleaned_data!F135-47714.01*cleaned_data!G135+3060.02*cleaned_data!I135+12599.55*cleaned_data!L135+13910.89*cleaned_data!K135+6379.19*dummy_variables!F135+18875.59*dummy_variables!G135+19293.73*dummy_variables!H135+41615.6*dummy_variables!I135+18404.23*dummy_variables!J135+29423.23*dummy_variables!K135</f>
        <v>448978.36216399993</v>
      </c>
      <c r="F135">
        <f t="shared" si="2"/>
        <v>-48146.71216399991</v>
      </c>
    </row>
    <row r="136" spans="1:6">
      <c r="A136" s="8" t="s">
        <v>55</v>
      </c>
      <c r="B136" t="s">
        <v>20</v>
      </c>
      <c r="C136" t="s">
        <v>18</v>
      </c>
      <c r="D136">
        <v>593247.25</v>
      </c>
      <c r="E136">
        <f>48902.8015+1.1916*cleaned_data!E136+33.6481*cleaned_data!F136-47714.01*cleaned_data!G136+3060.02*cleaned_data!I136+12599.55*cleaned_data!L136+13910.89*cleaned_data!K136+6379.19*dummy_variables!F136+18875.59*dummy_variables!G136+19293.73*dummy_variables!H136+41615.6*dummy_variables!I136+18404.23*dummy_variables!J136+29423.23*dummy_variables!K136</f>
        <v>615511.80665999989</v>
      </c>
      <c r="F136">
        <f t="shared" si="2"/>
        <v>-22264.556659999886</v>
      </c>
    </row>
    <row r="137" spans="1:6">
      <c r="A137" s="8" t="s">
        <v>55</v>
      </c>
      <c r="B137" t="s">
        <v>20</v>
      </c>
      <c r="C137" t="s">
        <v>18</v>
      </c>
      <c r="D137">
        <v>529075.94999999995</v>
      </c>
      <c r="E137">
        <f>48902.8015+1.1916*cleaned_data!E137+33.6481*cleaned_data!F137-47714.01*cleaned_data!G137+3060.02*cleaned_data!I137+12599.55*cleaned_data!L137+13910.89*cleaned_data!K137+6379.19*dummy_variables!F137+18875.59*dummy_variables!G137+19293.73*dummy_variables!H137+41615.6*dummy_variables!I137+18404.23*dummy_variables!J137+29423.23*dummy_variables!K137</f>
        <v>547650.24919599993</v>
      </c>
      <c r="F137">
        <f t="shared" si="2"/>
        <v>-18574.299195999978</v>
      </c>
    </row>
    <row r="138" spans="1:6">
      <c r="A138" s="8" t="s">
        <v>56</v>
      </c>
      <c r="B138" t="s">
        <v>24</v>
      </c>
      <c r="C138" t="s">
        <v>16</v>
      </c>
      <c r="D138">
        <v>633638.03</v>
      </c>
      <c r="E138">
        <f>48902.8015+1.1916*cleaned_data!E138+33.6481*cleaned_data!F138-47714.01*cleaned_data!G138+3060.02*cleaned_data!I138+12599.55*cleaned_data!L138+13910.89*cleaned_data!K138+6379.19*dummy_variables!F138+18875.59*dummy_variables!G138+19293.73*dummy_variables!H138+41615.6*dummy_variables!I138+18404.23*dummy_variables!J138+29423.23*dummy_variables!K138</f>
        <v>705275.79227599991</v>
      </c>
      <c r="F138">
        <f t="shared" si="2"/>
        <v>-71637.762275999878</v>
      </c>
    </row>
    <row r="139" spans="1:6">
      <c r="A139" s="8" t="s">
        <v>56</v>
      </c>
      <c r="B139" t="s">
        <v>24</v>
      </c>
      <c r="C139" t="s">
        <v>16</v>
      </c>
      <c r="D139">
        <v>646559.71</v>
      </c>
      <c r="E139">
        <f>48902.8015+1.1916*cleaned_data!E141+33.6481*cleaned_data!F141-47714.01*cleaned_data!G141+3060.02*cleaned_data!I141+12599.55*cleaned_data!L141+13910.89*cleaned_data!K141+6379.19*dummy_variables!F141+18875.59*dummy_variables!G141+19293.73*dummy_variables!H141+41615.6*dummy_variables!I141+18404.23*dummy_variables!J141+29423.23*dummy_variables!K141</f>
        <v>616185.87774999999</v>
      </c>
      <c r="F139">
        <f t="shared" si="2"/>
        <v>30373.832249999978</v>
      </c>
    </row>
    <row r="140" spans="1:6">
      <c r="A140" s="8" t="s">
        <v>56</v>
      </c>
      <c r="B140" t="s">
        <v>24</v>
      </c>
      <c r="C140" t="s">
        <v>16</v>
      </c>
      <c r="D140">
        <v>743348.84</v>
      </c>
      <c r="E140">
        <f>48902.8015+1.1916*cleaned_data!E139+33.6481*cleaned_data!F139-47714.01*cleaned_data!G139+3060.02*cleaned_data!I139+12599.55*cleaned_data!L139+13910.89*cleaned_data!K139+6379.19*dummy_variables!F139+18875.59*dummy_variables!G139+19293.73*dummy_variables!H139+41615.6*dummy_variables!I139+18404.23*dummy_variables!J139+29423.23*dummy_variables!K139</f>
        <v>704906.66488199995</v>
      </c>
      <c r="F140">
        <f t="shared" si="2"/>
        <v>38442.175118000014</v>
      </c>
    </row>
    <row r="141" spans="1:6">
      <c r="A141" s="8" t="s">
        <v>56</v>
      </c>
      <c r="B141" t="s">
        <v>24</v>
      </c>
      <c r="C141" t="s">
        <v>16</v>
      </c>
      <c r="D141">
        <v>758827.64</v>
      </c>
      <c r="E141">
        <f>48902.8015+1.1916*cleaned_data!E140+33.6481*cleaned_data!F140-47714.01*cleaned_data!G140+3060.02*cleaned_data!I140+12599.55*cleaned_data!L140+13910.89*cleaned_data!K140+6379.19*dummy_variables!F140+18875.59*dummy_variables!G140+19293.73*dummy_variables!H140+41615.6*dummy_variables!I140+18404.23*dummy_variables!J140+29423.23*dummy_variables!K140</f>
        <v>695370.89377999993</v>
      </c>
      <c r="F141">
        <f t="shared" si="2"/>
        <v>63456.746220000088</v>
      </c>
    </row>
    <row r="142" spans="1:6">
      <c r="A142" s="8" t="s">
        <v>57</v>
      </c>
      <c r="B142" t="s">
        <v>27</v>
      </c>
      <c r="C142" t="s">
        <v>18</v>
      </c>
      <c r="D142">
        <v>715097.57</v>
      </c>
      <c r="E142">
        <f>48902.8015+1.1916*cleaned_data!E143+33.6481*cleaned_data!F143-47714.01*cleaned_data!G143+3060.02*cleaned_data!I143+12599.55*cleaned_data!L143+13910.89*cleaned_data!K143+6379.19*dummy_variables!F143+18875.59*dummy_variables!G143+19293.73*dummy_variables!H143+41615.6*dummy_variables!I143+18404.23*dummy_variables!J143+29423.23*dummy_variables!K143</f>
        <v>706000.33900399995</v>
      </c>
      <c r="F142">
        <f t="shared" si="2"/>
        <v>9097.2309959999984</v>
      </c>
    </row>
    <row r="143" spans="1:6">
      <c r="A143" s="8" t="s">
        <v>57</v>
      </c>
      <c r="B143" t="s">
        <v>27</v>
      </c>
      <c r="C143" t="s">
        <v>18</v>
      </c>
      <c r="D143">
        <v>695098.51</v>
      </c>
      <c r="E143">
        <f>48902.8015+1.1916*cleaned_data!E145+33.6481*cleaned_data!F145-47714.01*cleaned_data!G145+3060.02*cleaned_data!I145+12599.55*cleaned_data!L145+13910.89*cleaned_data!K145+6379.19*dummy_variables!F145+18875.59*dummy_variables!G145+19293.73*dummy_variables!H145+41615.6*dummy_variables!I145+18404.23*dummy_variables!J145+29423.23*dummy_variables!K145</f>
        <v>679396.29737199994</v>
      </c>
      <c r="F143">
        <f t="shared" si="2"/>
        <v>15702.212628000067</v>
      </c>
    </row>
    <row r="144" spans="1:6">
      <c r="A144" s="8" t="s">
        <v>57</v>
      </c>
      <c r="B144" t="s">
        <v>27</v>
      </c>
      <c r="C144" t="s">
        <v>18</v>
      </c>
      <c r="D144">
        <v>682639.28</v>
      </c>
      <c r="E144">
        <f>48902.8015+1.1916*cleaned_data!E144+33.6481*cleaned_data!F144-47714.01*cleaned_data!G144+3060.02*cleaned_data!I144+12599.55*cleaned_data!L144+13910.89*cleaned_data!K144+6379.19*dummy_variables!F144+18875.59*dummy_variables!G144+19293.73*dummy_variables!H144+41615.6*dummy_variables!I144+18404.23*dummy_variables!J144+29423.23*dummy_variables!K144</f>
        <v>644413.70867000008</v>
      </c>
      <c r="F144">
        <f t="shared" si="2"/>
        <v>38225.571329999948</v>
      </c>
    </row>
    <row r="145" spans="1:6">
      <c r="A145" s="8" t="s">
        <v>57</v>
      </c>
      <c r="B145" t="s">
        <v>27</v>
      </c>
      <c r="C145" t="s">
        <v>18</v>
      </c>
      <c r="D145">
        <v>715890.53</v>
      </c>
      <c r="E145">
        <f>48902.8015+1.1916*cleaned_data!E142+33.6481*cleaned_data!F142-47714.01*cleaned_data!G142+3060.02*cleaned_data!I142+12599.55*cleaned_data!L142+13910.89*cleaned_data!K142+6379.19*dummy_variables!F142+18875.59*dummy_variables!G142+19293.73*dummy_variables!H142+41615.6*dummy_variables!I142+18404.23*dummy_variables!J142+29423.23*dummy_variables!K142</f>
        <v>676364.31025599991</v>
      </c>
      <c r="F145">
        <f t="shared" si="2"/>
        <v>39526.219744000118</v>
      </c>
    </row>
    <row r="146" spans="1:6">
      <c r="A146" s="8" t="s">
        <v>58</v>
      </c>
      <c r="B146" t="s">
        <v>20</v>
      </c>
      <c r="C146" t="s">
        <v>16</v>
      </c>
      <c r="D146">
        <v>577732.56999999995</v>
      </c>
      <c r="E146">
        <f>48902.8015+1.1916*cleaned_data!E146+33.6481*cleaned_data!F146-47714.01*cleaned_data!G146+3060.02*cleaned_data!I146+12599.55*cleaned_data!L146+13910.89*cleaned_data!K146+6379.19*dummy_variables!F146+18875.59*dummy_variables!G146+19293.73*dummy_variables!H146+41615.6*dummy_variables!I146+18404.23*dummy_variables!J146+29423.23*dummy_variables!K146</f>
        <v>592635.03413000004</v>
      </c>
      <c r="F146">
        <f t="shared" si="2"/>
        <v>-14902.464130000095</v>
      </c>
    </row>
    <row r="147" spans="1:6">
      <c r="A147" s="8" t="s">
        <v>58</v>
      </c>
      <c r="B147" t="s">
        <v>20</v>
      </c>
      <c r="C147" t="s">
        <v>16</v>
      </c>
      <c r="D147">
        <v>537058.32999999996</v>
      </c>
      <c r="E147">
        <f>48902.8015+1.1916*cleaned_data!E147+33.6481*cleaned_data!F147-47714.01*cleaned_data!G147+3060.02*cleaned_data!I147+12599.55*cleaned_data!L147+13910.89*cleaned_data!K147+6379.19*dummy_variables!F147+18875.59*dummy_variables!G147+19293.73*dummy_variables!H147+41615.6*dummy_variables!I147+18404.23*dummy_variables!J147+29423.23*dummy_variables!K147</f>
        <v>549963.74723199999</v>
      </c>
      <c r="F147">
        <f t="shared" si="2"/>
        <v>-12905.417232000036</v>
      </c>
    </row>
    <row r="148" spans="1:6">
      <c r="A148" s="8" t="s">
        <v>58</v>
      </c>
      <c r="B148" t="s">
        <v>20</v>
      </c>
      <c r="C148" t="s">
        <v>16</v>
      </c>
      <c r="D148">
        <v>601568.87</v>
      </c>
      <c r="E148">
        <f>48902.8015+1.1916*cleaned_data!E148+33.6481*cleaned_data!F148-47714.01*cleaned_data!G148+3060.02*cleaned_data!I148+12599.55*cleaned_data!L148+13910.89*cleaned_data!K148+6379.19*dummy_variables!F148+18875.59*dummy_variables!G148+19293.73*dummy_variables!H148+41615.6*dummy_variables!I148+18404.23*dummy_variables!J148+29423.23*dummy_variables!K148</f>
        <v>584282.09355999995</v>
      </c>
      <c r="F148">
        <f t="shared" si="2"/>
        <v>17286.776440000045</v>
      </c>
    </row>
    <row r="149" spans="1:6">
      <c r="A149" s="8" t="s">
        <v>58</v>
      </c>
      <c r="B149" t="s">
        <v>20</v>
      </c>
      <c r="C149" t="s">
        <v>16</v>
      </c>
      <c r="D149">
        <v>570964.84</v>
      </c>
      <c r="E149">
        <f>48902.8015+1.1916*cleaned_data!E149+33.6481*cleaned_data!F149-47714.01*cleaned_data!G149+3060.02*cleaned_data!I149+12599.55*cleaned_data!L149+13910.89*cleaned_data!K149+6379.19*dummy_variables!F149+18875.59*dummy_variables!G149+19293.73*dummy_variables!H149+41615.6*dummy_variables!I149+18404.23*dummy_variables!J149+29423.23*dummy_variables!K149</f>
        <v>551134.44325999985</v>
      </c>
      <c r="F149">
        <f t="shared" si="2"/>
        <v>19830.396740000113</v>
      </c>
    </row>
    <row r="150" spans="1:6">
      <c r="A150" s="8" t="s">
        <v>59</v>
      </c>
      <c r="B150" t="s">
        <v>24</v>
      </c>
      <c r="C150" t="s">
        <v>28</v>
      </c>
      <c r="D150">
        <v>614024.91</v>
      </c>
      <c r="E150">
        <f>48902.8015+1.1916*cleaned_data!E150+33.6481*cleaned_data!F150-47714.01*cleaned_data!G150+3060.02*cleaned_data!I150+12599.55*cleaned_data!L150+13910.89*cleaned_data!K150+6379.19*dummy_variables!F150+18875.59*dummy_variables!G150+19293.73*dummy_variables!H150+41615.6*dummy_variables!I150+18404.23*dummy_variables!J150+29423.23*dummy_variables!K150</f>
        <v>653193.42021800007</v>
      </c>
      <c r="F150">
        <f t="shared" si="2"/>
        <v>-39168.510218000039</v>
      </c>
    </row>
    <row r="151" spans="1:6">
      <c r="A151" s="8" t="s">
        <v>59</v>
      </c>
      <c r="B151" t="s">
        <v>24</v>
      </c>
      <c r="C151" t="s">
        <v>28</v>
      </c>
      <c r="D151">
        <v>712868.35</v>
      </c>
      <c r="E151">
        <f>48902.8015+1.1916*cleaned_data!E151+33.6481*cleaned_data!F151-47714.01*cleaned_data!G151+3060.02*cleaned_data!I151+12599.55*cleaned_data!L151+13910.89*cleaned_data!K151+6379.19*dummy_variables!F151+18875.59*dummy_variables!G151+19293.73*dummy_variables!H151+41615.6*dummy_variables!I151+18404.23*dummy_variables!J151+29423.23*dummy_variables!K151</f>
        <v>721751.08366399992</v>
      </c>
      <c r="F151">
        <f t="shared" si="2"/>
        <v>-8882.7336639999412</v>
      </c>
    </row>
    <row r="152" spans="1:6">
      <c r="A152" s="8" t="s">
        <v>59</v>
      </c>
      <c r="B152" t="s">
        <v>24</v>
      </c>
      <c r="C152" t="s">
        <v>28</v>
      </c>
      <c r="D152">
        <v>696744.15</v>
      </c>
      <c r="E152">
        <f>48902.8015+1.1916*cleaned_data!E152+33.6481*cleaned_data!F152-47714.01*cleaned_data!G152+3060.02*cleaned_data!I152+12599.55*cleaned_data!L152+13910.89*cleaned_data!K152+6379.19*dummy_variables!F152+18875.59*dummy_variables!G152+19293.73*dummy_variables!H152+41615.6*dummy_variables!I152+18404.23*dummy_variables!J152+29423.23*dummy_variables!K152</f>
        <v>686524.97467999998</v>
      </c>
      <c r="F152">
        <f t="shared" si="2"/>
        <v>10219.175320000038</v>
      </c>
    </row>
    <row r="153" spans="1:6">
      <c r="A153" s="8" t="s">
        <v>59</v>
      </c>
      <c r="B153" t="s">
        <v>24</v>
      </c>
      <c r="C153" t="s">
        <v>28</v>
      </c>
      <c r="D153">
        <v>725847.99</v>
      </c>
      <c r="E153">
        <f>48902.8015+1.1916*cleaned_data!E153+33.6481*cleaned_data!F153-47714.01*cleaned_data!G153+3060.02*cleaned_data!I153+12599.55*cleaned_data!L153+13910.89*cleaned_data!K153+6379.19*dummy_variables!F153+18875.59*dummy_variables!G153+19293.73*dummy_variables!H153+41615.6*dummy_variables!I153+18404.23*dummy_variables!J153+29423.23*dummy_variables!K153</f>
        <v>712536.44687400002</v>
      </c>
      <c r="F153">
        <f t="shared" si="2"/>
        <v>13311.543125999975</v>
      </c>
    </row>
    <row r="154" spans="1:6">
      <c r="A154" s="8" t="s">
        <v>60</v>
      </c>
      <c r="B154" t="s">
        <v>15</v>
      </c>
      <c r="C154" t="s">
        <v>18</v>
      </c>
      <c r="D154">
        <v>685830.24</v>
      </c>
      <c r="E154">
        <f>48902.8015+1.1916*cleaned_data!E156+33.6481*cleaned_data!F156-47714.01*cleaned_data!G156+3060.02*cleaned_data!I156+12599.55*cleaned_data!L156+13910.89*cleaned_data!K156+6379.19*dummy_variables!F156+18875.59*dummy_variables!G156+19293.73*dummy_variables!H156+41615.6*dummy_variables!I156+18404.23*dummy_variables!J156+29423.23*dummy_variables!K156</f>
        <v>722377.52794399997</v>
      </c>
      <c r="F154">
        <f t="shared" si="2"/>
        <v>-36547.287943999982</v>
      </c>
    </row>
    <row r="155" spans="1:6">
      <c r="A155" s="8" t="s">
        <v>60</v>
      </c>
      <c r="B155" t="s">
        <v>15</v>
      </c>
      <c r="C155" t="s">
        <v>18</v>
      </c>
      <c r="D155">
        <v>785028.25</v>
      </c>
      <c r="E155">
        <f>48902.8015+1.1916*cleaned_data!E154+33.6481*cleaned_data!F154-47714.01*cleaned_data!G154+3060.02*cleaned_data!I154+12599.55*cleaned_data!L154+13910.89*cleaned_data!K154+6379.19*dummy_variables!F154+18875.59*dummy_variables!G154+19293.73*dummy_variables!H154+41615.6*dummy_variables!I154+18404.23*dummy_variables!J154+29423.23*dummy_variables!K154</f>
        <v>795936.25162799994</v>
      </c>
      <c r="F155">
        <f t="shared" si="2"/>
        <v>-10908.00162799994</v>
      </c>
    </row>
    <row r="156" spans="1:6">
      <c r="A156" s="8" t="s">
        <v>60</v>
      </c>
      <c r="B156" t="s">
        <v>15</v>
      </c>
      <c r="C156" t="s">
        <v>18</v>
      </c>
      <c r="D156">
        <v>702318.94</v>
      </c>
      <c r="E156">
        <f>48902.8015+1.1916*cleaned_data!E157+33.6481*cleaned_data!F157-47714.01*cleaned_data!G157+3060.02*cleaned_data!I157+12599.55*cleaned_data!L157+13910.89*cleaned_data!K157+6379.19*dummy_variables!F157+18875.59*dummy_variables!G157+19293.73*dummy_variables!H157+41615.6*dummy_variables!I157+18404.23*dummy_variables!J157+29423.23*dummy_variables!K157</f>
        <v>699264.27055399993</v>
      </c>
      <c r="F156">
        <f t="shared" si="2"/>
        <v>3054.6694460000144</v>
      </c>
    </row>
    <row r="157" spans="1:6">
      <c r="A157" s="8" t="s">
        <v>60</v>
      </c>
      <c r="B157" t="s">
        <v>15</v>
      </c>
      <c r="C157" t="s">
        <v>18</v>
      </c>
      <c r="D157">
        <v>698492.67</v>
      </c>
      <c r="E157">
        <f>48902.8015+1.1916*cleaned_data!E155+33.6481*cleaned_data!F155-47714.01*cleaned_data!G155+3060.02*cleaned_data!I155+12599.55*cleaned_data!L155+13910.89*cleaned_data!K155+6379.19*dummy_variables!F155+18875.59*dummy_variables!G155+19293.73*dummy_variables!H155+41615.6*dummy_variables!I155+18404.23*dummy_variables!J155+29423.23*dummy_variables!K155</f>
        <v>681880.35991</v>
      </c>
      <c r="F157">
        <f t="shared" si="2"/>
        <v>16612.310090000043</v>
      </c>
    </row>
    <row r="158" spans="1:6">
      <c r="A158" s="8" t="s">
        <v>61</v>
      </c>
      <c r="B158" t="s">
        <v>20</v>
      </c>
      <c r="C158" t="s">
        <v>28</v>
      </c>
      <c r="D158">
        <v>602002.31999999995</v>
      </c>
      <c r="E158">
        <f>48902.8015+1.1916*cleaned_data!E159+33.6481*cleaned_data!F159-47714.01*cleaned_data!G159+3060.02*cleaned_data!I159+12599.55*cleaned_data!L159+13910.89*cleaned_data!K159+6379.19*dummy_variables!F159+18875.59*dummy_variables!G159+19293.73*dummy_variables!H159+41615.6*dummy_variables!I159+18404.23*dummy_variables!J159+29423.23*dummy_variables!K159</f>
        <v>628946.09248799994</v>
      </c>
      <c r="F158">
        <f t="shared" si="2"/>
        <v>-26943.772487999988</v>
      </c>
    </row>
    <row r="159" spans="1:6">
      <c r="A159" s="8" t="s">
        <v>61</v>
      </c>
      <c r="B159" t="s">
        <v>20</v>
      </c>
      <c r="C159" t="s">
        <v>28</v>
      </c>
      <c r="D159">
        <v>700078.32</v>
      </c>
      <c r="E159">
        <f>48902.8015+1.1916*cleaned_data!E158+33.6481*cleaned_data!F158-47714.01*cleaned_data!G158+3060.02*cleaned_data!I158+12599.55*cleaned_data!L158+13910.89*cleaned_data!K158+6379.19*dummy_variables!F158+18875.59*dummy_variables!G158+19293.73*dummy_variables!H158+41615.6*dummy_variables!I158+18404.23*dummy_variables!J158+29423.23*dummy_variables!K158</f>
        <v>711523.01852599985</v>
      </c>
      <c r="F159">
        <f t="shared" si="2"/>
        <v>-11444.698525999906</v>
      </c>
    </row>
    <row r="160" spans="1:6">
      <c r="A160" s="8" t="s">
        <v>61</v>
      </c>
      <c r="B160" t="s">
        <v>20</v>
      </c>
      <c r="C160" t="s">
        <v>28</v>
      </c>
      <c r="D160">
        <v>620973.03</v>
      </c>
      <c r="E160">
        <f>48902.8015+1.1916*cleaned_data!E161+33.6481*cleaned_data!F161-47714.01*cleaned_data!G161+3060.02*cleaned_data!I161+12599.55*cleaned_data!L161+13910.89*cleaned_data!K161+6379.19*dummy_variables!F161+18875.59*dummy_variables!G161+19293.73*dummy_variables!H161+41615.6*dummy_variables!I161+18404.23*dummy_variables!J161+29423.23*dummy_variables!K161</f>
        <v>560433.4552219999</v>
      </c>
      <c r="F160">
        <f t="shared" si="2"/>
        <v>60539.574778000126</v>
      </c>
    </row>
    <row r="161" spans="1:6">
      <c r="A161" s="8" t="s">
        <v>61</v>
      </c>
      <c r="B161" t="s">
        <v>20</v>
      </c>
      <c r="C161" t="s">
        <v>28</v>
      </c>
      <c r="D161">
        <v>724216.07</v>
      </c>
      <c r="E161">
        <f>48902.8015+1.1916*cleaned_data!E160+33.6481*cleaned_data!F160-47714.01*cleaned_data!G160+3060.02*cleaned_data!I160+12599.55*cleaned_data!L160+13910.89*cleaned_data!K160+6379.19*dummy_variables!F160+18875.59*dummy_variables!G160+19293.73*dummy_variables!H160+41615.6*dummy_variables!I160+18404.23*dummy_variables!J160+29423.23*dummy_variables!K160</f>
        <v>650923.46287599986</v>
      </c>
      <c r="F161">
        <f t="shared" si="2"/>
        <v>73292.607124000089</v>
      </c>
    </row>
    <row r="162" spans="1:6">
      <c r="A162" s="8" t="s">
        <v>62</v>
      </c>
      <c r="B162" t="s">
        <v>24</v>
      </c>
      <c r="C162" t="s">
        <v>18</v>
      </c>
      <c r="D162">
        <v>650480.06000000006</v>
      </c>
      <c r="E162">
        <f>48902.8015+1.1916*cleaned_data!E162+33.6481*cleaned_data!F162-47714.01*cleaned_data!G162+3060.02*cleaned_data!I162+12599.55*cleaned_data!L162+13910.89*cleaned_data!K162+6379.19*dummy_variables!F162+18875.59*dummy_variables!G162+19293.73*dummy_variables!H162+41615.6*dummy_variables!I162+18404.23*dummy_variables!J162+29423.23*dummy_variables!K162</f>
        <v>704169.22460599977</v>
      </c>
      <c r="F162">
        <f t="shared" si="2"/>
        <v>-53689.164605999715</v>
      </c>
    </row>
    <row r="163" spans="1:6">
      <c r="A163" s="8" t="s">
        <v>62</v>
      </c>
      <c r="B163" t="s">
        <v>24</v>
      </c>
      <c r="C163" t="s">
        <v>18</v>
      </c>
      <c r="D163">
        <v>692008.64</v>
      </c>
      <c r="E163">
        <f>48902.8015+1.1916*cleaned_data!E165+33.6481*cleaned_data!F165-47714.01*cleaned_data!G165+3060.02*cleaned_data!I165+12599.55*cleaned_data!L165+13910.89*cleaned_data!K165+6379.19*dummy_variables!F165+18875.59*dummy_variables!G165+19293.73*dummy_variables!H165+41615.6*dummy_variables!I165+18404.23*dummy_variables!J165+29423.23*dummy_variables!K165</f>
        <v>707234.28804199991</v>
      </c>
      <c r="F163">
        <f t="shared" si="2"/>
        <v>-15225.648041999899</v>
      </c>
    </row>
    <row r="164" spans="1:6">
      <c r="A164" s="8" t="s">
        <v>62</v>
      </c>
      <c r="B164" t="s">
        <v>24</v>
      </c>
      <c r="C164" t="s">
        <v>18</v>
      </c>
      <c r="D164">
        <v>677096.71</v>
      </c>
      <c r="E164">
        <f>48902.8015+1.1916*cleaned_data!E164+33.6481*cleaned_data!F164-47714.01*cleaned_data!G164+3060.02*cleaned_data!I164+12599.55*cleaned_data!L164+13910.89*cleaned_data!K164+6379.19*dummy_variables!F164+18875.59*dummy_variables!G164+19293.73*dummy_variables!H164+41615.6*dummy_variables!I164+18404.23*dummy_variables!J164+29423.23*dummy_variables!K164</f>
        <v>690604.76364999986</v>
      </c>
      <c r="F164">
        <f t="shared" si="2"/>
        <v>-13508.0536499999</v>
      </c>
    </row>
    <row r="165" spans="1:6">
      <c r="A165" s="8" t="s">
        <v>62</v>
      </c>
      <c r="B165" t="s">
        <v>24</v>
      </c>
      <c r="C165" t="s">
        <v>18</v>
      </c>
      <c r="D165">
        <v>778298.88</v>
      </c>
      <c r="E165">
        <f>48902.8015+1.1916*cleaned_data!E163+33.6481*cleaned_data!F163-47714.01*cleaned_data!G163+3060.02*cleaned_data!I163+12599.55*cleaned_data!L163+13910.89*cleaned_data!K163+6379.19*dummy_variables!F163+18875.59*dummy_variables!G163+19293.73*dummy_variables!H163+41615.6*dummy_variables!I163+18404.23*dummy_variables!J163+29423.23*dummy_variables!K163</f>
        <v>708927.5240199999</v>
      </c>
      <c r="F165">
        <f t="shared" si="2"/>
        <v>69371.355980000109</v>
      </c>
    </row>
    <row r="166" spans="1:6">
      <c r="A166" s="8" t="s">
        <v>63</v>
      </c>
      <c r="B166" t="s">
        <v>20</v>
      </c>
      <c r="C166" t="s">
        <v>28</v>
      </c>
      <c r="D166">
        <v>706285.52</v>
      </c>
      <c r="E166">
        <f>48902.8015+1.1916*cleaned_data!E167+33.6481*cleaned_data!F167-47714.01*cleaned_data!G167+3060.02*cleaned_data!I167+12599.55*cleaned_data!L167+13910.89*cleaned_data!K167+6379.19*dummy_variables!F167+18875.59*dummy_variables!G167+19293.73*dummy_variables!H167+41615.6*dummy_variables!I167+18404.23*dummy_variables!J167+29423.23*dummy_variables!K167</f>
        <v>733022.79344999988</v>
      </c>
      <c r="F166">
        <f t="shared" si="2"/>
        <v>-26737.273449999862</v>
      </c>
    </row>
    <row r="167" spans="1:6">
      <c r="A167" s="8" t="s">
        <v>63</v>
      </c>
      <c r="B167" t="s">
        <v>20</v>
      </c>
      <c r="C167" t="s">
        <v>28</v>
      </c>
      <c r="D167">
        <v>665534.69999999995</v>
      </c>
      <c r="E167">
        <f>48902.8015+1.1916*cleaned_data!E168+33.6481*cleaned_data!F168-47714.01*cleaned_data!G168+3060.02*cleaned_data!I168+12599.55*cleaned_data!L168+13910.89*cleaned_data!K168+6379.19*dummy_variables!F168+18875.59*dummy_variables!G168+19293.73*dummy_variables!H168+41615.6*dummy_variables!I168+18404.23*dummy_variables!J168+29423.23*dummy_variables!K168</f>
        <v>676720.8288759999</v>
      </c>
      <c r="F167">
        <f t="shared" si="2"/>
        <v>-11186.128875999944</v>
      </c>
    </row>
    <row r="168" spans="1:6">
      <c r="A168" s="8" t="s">
        <v>63</v>
      </c>
      <c r="B168" t="s">
        <v>20</v>
      </c>
      <c r="C168" t="s">
        <v>28</v>
      </c>
      <c r="D168">
        <v>820729.29</v>
      </c>
      <c r="E168">
        <f>48902.8015+1.1916*cleaned_data!E169+33.6481*cleaned_data!F169-47714.01*cleaned_data!G169+3060.02*cleaned_data!I169+12599.55*cleaned_data!L169+13910.89*cleaned_data!K169+6379.19*dummy_variables!F169+18875.59*dummy_variables!G169+19293.73*dummy_variables!H169+41615.6*dummy_variables!I169+18404.23*dummy_variables!J169+29423.23*dummy_variables!K169</f>
        <v>814402.99726399989</v>
      </c>
      <c r="F168">
        <f t="shared" si="2"/>
        <v>6326.2927360001486</v>
      </c>
    </row>
    <row r="169" spans="1:6">
      <c r="A169" s="8" t="s">
        <v>63</v>
      </c>
      <c r="B169" t="s">
        <v>20</v>
      </c>
      <c r="C169" t="s">
        <v>28</v>
      </c>
      <c r="D169">
        <v>825797.91</v>
      </c>
      <c r="E169">
        <f>48902.8015+1.1916*cleaned_data!E166+33.6481*cleaned_data!F166-47714.01*cleaned_data!G166+3060.02*cleaned_data!I166+12599.55*cleaned_data!L166+13910.89*cleaned_data!K166+6379.19*dummy_variables!F166+18875.59*dummy_variables!G166+19293.73*dummy_variables!H166+41615.6*dummy_variables!I166+18404.23*dummy_variables!J166+29423.23*dummy_variables!K166</f>
        <v>798654.54277799989</v>
      </c>
      <c r="F169">
        <f t="shared" si="2"/>
        <v>27143.367222000146</v>
      </c>
    </row>
    <row r="170" spans="1:6">
      <c r="A170" s="8" t="s">
        <v>64</v>
      </c>
      <c r="B170" t="s">
        <v>15</v>
      </c>
      <c r="C170" t="s">
        <v>16</v>
      </c>
      <c r="D170">
        <v>593637.14</v>
      </c>
      <c r="E170">
        <f>48902.8015+1.1916*cleaned_data!E171+33.6481*cleaned_data!F171-47714.01*cleaned_data!G171+3060.02*cleaned_data!I171+12599.55*cleaned_data!L171+13910.89*cleaned_data!K171+6379.19*dummy_variables!F171+18875.59*dummy_variables!G171+19293.73*dummy_variables!H171+41615.6*dummy_variables!I171+18404.23*dummy_variables!J171+29423.23*dummy_variables!K171</f>
        <v>658568.11847799993</v>
      </c>
      <c r="F170">
        <f t="shared" si="2"/>
        <v>-64930.978477999917</v>
      </c>
    </row>
    <row r="171" spans="1:6">
      <c r="A171" s="8" t="s">
        <v>64</v>
      </c>
      <c r="B171" t="s">
        <v>15</v>
      </c>
      <c r="C171" t="s">
        <v>16</v>
      </c>
      <c r="D171">
        <v>739831.73</v>
      </c>
      <c r="E171">
        <f>48902.8015+1.1916*cleaned_data!E170+33.6481*cleaned_data!F170-47714.01*cleaned_data!G170+3060.02*cleaned_data!I170+12599.55*cleaned_data!L170+13910.89*cleaned_data!K170+6379.19*dummy_variables!F170+18875.59*dummy_variables!G170+19293.73*dummy_variables!H170+41615.6*dummy_variables!I170+18404.23*dummy_variables!J170+29423.23*dummy_variables!K170</f>
        <v>760046.24142800004</v>
      </c>
      <c r="F171">
        <f t="shared" si="2"/>
        <v>-20214.511428000056</v>
      </c>
    </row>
    <row r="172" spans="1:6">
      <c r="A172" s="8" t="s">
        <v>64</v>
      </c>
      <c r="B172" t="s">
        <v>15</v>
      </c>
      <c r="C172" t="s">
        <v>16</v>
      </c>
      <c r="D172">
        <v>679731.57</v>
      </c>
      <c r="E172">
        <f>48902.8015+1.1916*cleaned_data!E173+33.6481*cleaned_data!F173-47714.01*cleaned_data!G173+3060.02*cleaned_data!I173+12599.55*cleaned_data!L173+13910.89*cleaned_data!K173+6379.19*dummy_variables!F173+18875.59*dummy_variables!G173+19293.73*dummy_variables!H173+41615.6*dummy_variables!I173+18404.23*dummy_variables!J173+29423.23*dummy_variables!K173</f>
        <v>675235.25673599995</v>
      </c>
      <c r="F172">
        <f t="shared" si="2"/>
        <v>4496.3132639999967</v>
      </c>
    </row>
    <row r="173" spans="1:6">
      <c r="A173" s="8" t="s">
        <v>64</v>
      </c>
      <c r="B173" t="s">
        <v>15</v>
      </c>
      <c r="C173" t="s">
        <v>16</v>
      </c>
      <c r="D173">
        <v>769702.76</v>
      </c>
      <c r="E173">
        <f>48902.8015+1.1916*cleaned_data!E172+33.6481*cleaned_data!F172-47714.01*cleaned_data!G172+3060.02*cleaned_data!I172+12599.55*cleaned_data!L172+13910.89*cleaned_data!K172+6379.19*dummy_variables!F172+18875.59*dummy_variables!G172+19293.73*dummy_variables!H172+41615.6*dummy_variables!I172+18404.23*dummy_variables!J172+29423.23*dummy_variables!K172</f>
        <v>724013.20315800013</v>
      </c>
      <c r="F173">
        <f t="shared" si="2"/>
        <v>45689.556841999874</v>
      </c>
    </row>
    <row r="174" spans="1:6">
      <c r="A174" s="8" t="s">
        <v>65</v>
      </c>
      <c r="B174" t="s">
        <v>15</v>
      </c>
      <c r="C174" t="s">
        <v>16</v>
      </c>
      <c r="D174">
        <v>721364.11</v>
      </c>
      <c r="E174">
        <f>48902.8015+1.1916*cleaned_data!E175+33.6481*cleaned_data!F175-47714.01*cleaned_data!G175+3060.02*cleaned_data!I175+12599.55*cleaned_data!L175+13910.89*cleaned_data!K175+6379.19*dummy_variables!F175+18875.59*dummy_variables!G175+19293.73*dummy_variables!H175+41615.6*dummy_variables!I175+18404.23*dummy_variables!J175+29423.23*dummy_variables!K175</f>
        <v>726094.89717799996</v>
      </c>
      <c r="F174">
        <f t="shared" si="2"/>
        <v>-4730.7871779999696</v>
      </c>
    </row>
    <row r="175" spans="1:6">
      <c r="A175" s="8" t="s">
        <v>65</v>
      </c>
      <c r="B175" t="s">
        <v>15</v>
      </c>
      <c r="C175" t="s">
        <v>16</v>
      </c>
      <c r="D175">
        <v>758138.29</v>
      </c>
      <c r="E175">
        <f>48902.8015+1.1916*cleaned_data!E176+33.6481*cleaned_data!F176-47714.01*cleaned_data!G176+3060.02*cleaned_data!I176+12599.55*cleaned_data!L176+13910.89*cleaned_data!K176+6379.19*dummy_variables!F176+18875.59*dummy_variables!G176+19293.73*dummy_variables!H176+41615.6*dummy_variables!I176+18404.23*dummy_variables!J176+29423.23*dummy_variables!K176</f>
        <v>756735.4815900001</v>
      </c>
      <c r="F175">
        <f t="shared" si="2"/>
        <v>1402.8084099999396</v>
      </c>
    </row>
    <row r="176" spans="1:6">
      <c r="A176" s="8" t="s">
        <v>65</v>
      </c>
      <c r="B176" t="s">
        <v>15</v>
      </c>
      <c r="C176" t="s">
        <v>16</v>
      </c>
      <c r="D176">
        <v>804264</v>
      </c>
      <c r="E176">
        <f>48902.8015+1.1916*cleaned_data!E177+33.6481*cleaned_data!F177-47714.01*cleaned_data!G177+3060.02*cleaned_data!I177+12599.55*cleaned_data!L177+13910.89*cleaned_data!K177+6379.19*dummy_variables!F177+18875.59*dummy_variables!G177+19293.73*dummy_variables!H177+41615.6*dummy_variables!I177+18404.23*dummy_variables!J177+29423.23*dummy_variables!K177</f>
        <v>792841.45201399992</v>
      </c>
      <c r="F176">
        <f t="shared" si="2"/>
        <v>11422.547986000078</v>
      </c>
    </row>
    <row r="177" spans="1:6">
      <c r="A177" s="8" t="s">
        <v>65</v>
      </c>
      <c r="B177" t="s">
        <v>15</v>
      </c>
      <c r="C177" t="s">
        <v>16</v>
      </c>
      <c r="D177">
        <v>780344.18</v>
      </c>
      <c r="E177">
        <f>48902.8015+1.1916*cleaned_data!E174+33.6481*cleaned_data!F174-47714.01*cleaned_data!G174+3060.02*cleaned_data!I174+12599.55*cleaned_data!L174+13910.89*cleaned_data!K174+6379.19*dummy_variables!F174+18875.59*dummy_variables!G174+19293.73*dummy_variables!H174+41615.6*dummy_variables!I174+18404.23*dummy_variables!J174+29423.23*dummy_variables!K174</f>
        <v>743711.49759400007</v>
      </c>
      <c r="F177">
        <f t="shared" si="2"/>
        <v>36632.682405999978</v>
      </c>
    </row>
    <row r="178" spans="1:6">
      <c r="A178" s="8" t="s">
        <v>66</v>
      </c>
      <c r="B178" t="s">
        <v>27</v>
      </c>
      <c r="C178" t="s">
        <v>21</v>
      </c>
      <c r="D178">
        <v>887537.75</v>
      </c>
      <c r="E178">
        <f>48902.8015+1.1916*cleaned_data!E178+33.6481*cleaned_data!F178-47714.01*cleaned_data!G178+3060.02*cleaned_data!I178+12599.55*cleaned_data!L178+13910.89*cleaned_data!K178+6379.19*dummy_variables!F178+18875.59*dummy_variables!G178+19293.73*dummy_variables!H178+41615.6*dummy_variables!I178+18404.23*dummy_variables!J178+29423.23*dummy_variables!K178</f>
        <v>898894.16578399984</v>
      </c>
      <c r="F178">
        <f t="shared" si="2"/>
        <v>-11356.415783999837</v>
      </c>
    </row>
    <row r="179" spans="1:6">
      <c r="A179" s="8" t="s">
        <v>66</v>
      </c>
      <c r="B179" t="s">
        <v>27</v>
      </c>
      <c r="C179" t="s">
        <v>21</v>
      </c>
      <c r="D179">
        <v>781955.52</v>
      </c>
      <c r="E179">
        <f>48902.8015+1.1916*cleaned_data!E180+33.6481*cleaned_data!F180-47714.01*cleaned_data!G180+3060.02*cleaned_data!I180+12599.55*cleaned_data!L180+13910.89*cleaned_data!K180+6379.19*dummy_variables!F180+18875.59*dummy_variables!G180+19293.73*dummy_variables!H180+41615.6*dummy_variables!I180+18404.23*dummy_variables!J180+29423.23*dummy_variables!K180</f>
        <v>771272.00433399994</v>
      </c>
      <c r="F179">
        <f t="shared" si="2"/>
        <v>10683.515666000079</v>
      </c>
    </row>
    <row r="180" spans="1:6">
      <c r="A180" s="8" t="s">
        <v>66</v>
      </c>
      <c r="B180" t="s">
        <v>27</v>
      </c>
      <c r="C180" t="s">
        <v>21</v>
      </c>
      <c r="D180">
        <v>898031.04</v>
      </c>
      <c r="E180">
        <f>48902.8015+1.1916*cleaned_data!E181+33.6481*cleaned_data!F181-47714.01*cleaned_data!G181+3060.02*cleaned_data!I181+12599.55*cleaned_data!L181+13910.89*cleaned_data!K181+6379.19*dummy_variables!F181+18875.59*dummy_variables!G181+19293.73*dummy_variables!H181+41615.6*dummy_variables!I181+18404.23*dummy_variables!J181+29423.23*dummy_variables!K181</f>
        <v>860704.01516599988</v>
      </c>
      <c r="F180">
        <f t="shared" si="2"/>
        <v>37327.024834000156</v>
      </c>
    </row>
    <row r="181" spans="1:6">
      <c r="A181" s="8" t="s">
        <v>66</v>
      </c>
      <c r="B181" t="s">
        <v>27</v>
      </c>
      <c r="C181" t="s">
        <v>21</v>
      </c>
      <c r="D181">
        <v>783582</v>
      </c>
      <c r="E181">
        <f>48902.8015+1.1916*cleaned_data!E179+33.6481*cleaned_data!F179-47714.01*cleaned_data!G179+3060.02*cleaned_data!I179+12599.55*cleaned_data!L179+13910.89*cleaned_data!K179+6379.19*dummy_variables!F179+18875.59*dummy_variables!G179+19293.73*dummy_variables!H179+41615.6*dummy_variables!I179+18404.23*dummy_variables!J179+29423.23*dummy_variables!K179</f>
        <v>731602.27594199998</v>
      </c>
      <c r="F181">
        <f t="shared" si="2"/>
        <v>51979.724058000022</v>
      </c>
    </row>
    <row r="182" spans="1:6">
      <c r="A182" s="8" t="s">
        <v>67</v>
      </c>
      <c r="B182" t="s">
        <v>27</v>
      </c>
      <c r="C182" t="s">
        <v>16</v>
      </c>
      <c r="D182">
        <v>855341.28</v>
      </c>
      <c r="E182">
        <f>48902.8015+1.1916*cleaned_data!E182+33.6481*cleaned_data!F182-47714.01*cleaned_data!G182+3060.02*cleaned_data!I182+12599.55*cleaned_data!L182+13910.89*cleaned_data!K182+6379.19*dummy_variables!F182+18875.59*dummy_variables!G182+19293.73*dummy_variables!H182+41615.6*dummy_variables!I182+18404.23*dummy_variables!J182+29423.23*dummy_variables!K182</f>
        <v>861688.65456599998</v>
      </c>
      <c r="F182">
        <f t="shared" si="2"/>
        <v>-6347.3745659999549</v>
      </c>
    </row>
    <row r="183" spans="1:6">
      <c r="A183" s="8" t="s">
        <v>67</v>
      </c>
      <c r="B183" t="s">
        <v>27</v>
      </c>
      <c r="C183" t="s">
        <v>16</v>
      </c>
      <c r="D183">
        <v>761077.08</v>
      </c>
      <c r="E183">
        <f>48902.8015+1.1916*cleaned_data!E184+33.6481*cleaned_data!F184-47714.01*cleaned_data!G184+3060.02*cleaned_data!I184+12599.55*cleaned_data!L184+13910.89*cleaned_data!K184+6379.19*dummy_variables!F184+18875.59*dummy_variables!G184+19293.73*dummy_variables!H184+41615.6*dummy_variables!I184+18404.23*dummy_variables!J184+29423.23*dummy_variables!K184</f>
        <v>764841.71163799998</v>
      </c>
      <c r="F183">
        <f t="shared" si="2"/>
        <v>-3764.6316380000208</v>
      </c>
    </row>
    <row r="184" spans="1:6">
      <c r="A184" s="8" t="s">
        <v>67</v>
      </c>
      <c r="B184" t="s">
        <v>27</v>
      </c>
      <c r="C184" t="s">
        <v>16</v>
      </c>
      <c r="D184">
        <v>819660.59</v>
      </c>
      <c r="E184">
        <f>48902.8015+1.1916*cleaned_data!E185+33.6481*cleaned_data!F185-47714.01*cleaned_data!G185+3060.02*cleaned_data!I185+12599.55*cleaned_data!L185+13910.89*cleaned_data!K185+6379.19*dummy_variables!F185+18875.59*dummy_variables!G185+19293.73*dummy_variables!H185+41615.6*dummy_variables!I185+18404.23*dummy_variables!J185+29423.23*dummy_variables!K185</f>
        <v>810089.08530799986</v>
      </c>
      <c r="F184">
        <f t="shared" si="2"/>
        <v>9571.5046920001041</v>
      </c>
    </row>
    <row r="185" spans="1:6">
      <c r="A185" s="8" t="s">
        <v>67</v>
      </c>
      <c r="B185" t="s">
        <v>27</v>
      </c>
      <c r="C185" t="s">
        <v>16</v>
      </c>
      <c r="D185">
        <v>751393.88</v>
      </c>
      <c r="E185">
        <f>48902.8015+1.1916*cleaned_data!E183+33.6481*cleaned_data!F183-47714.01*cleaned_data!G183+3060.02*cleaned_data!I183+12599.55*cleaned_data!L183+13910.89*cleaned_data!K183+6379.19*dummy_variables!F183+18875.59*dummy_variables!G183+19293.73*dummy_variables!H183+41615.6*dummy_variables!I183+18404.23*dummy_variables!J183+29423.23*dummy_variables!K183</f>
        <v>737574.21109</v>
      </c>
      <c r="F185">
        <f t="shared" si="2"/>
        <v>13819.668910000008</v>
      </c>
    </row>
    <row r="186" spans="1:6">
      <c r="A186" s="8" t="s">
        <v>68</v>
      </c>
      <c r="B186" t="s">
        <v>20</v>
      </c>
      <c r="C186" t="s">
        <v>18</v>
      </c>
      <c r="D186">
        <v>681855.56</v>
      </c>
      <c r="E186">
        <f>48902.8015+1.1916*cleaned_data!E186+33.6481*cleaned_data!F186-47714.01*cleaned_data!G186+3060.02*cleaned_data!I186+12599.55*cleaned_data!L186+13910.89*cleaned_data!K186+6379.19*dummy_variables!F186+18875.59*dummy_variables!G186+19293.73*dummy_variables!H186+41615.6*dummy_variables!I186+18404.23*dummy_variables!J186+29423.23*dummy_variables!K186</f>
        <v>702853.38157199998</v>
      </c>
      <c r="F186">
        <f t="shared" si="2"/>
        <v>-20997.821571999928</v>
      </c>
    </row>
    <row r="187" spans="1:6">
      <c r="A187" s="8" t="s">
        <v>68</v>
      </c>
      <c r="B187" t="s">
        <v>20</v>
      </c>
      <c r="C187" t="s">
        <v>18</v>
      </c>
      <c r="D187">
        <v>712546.38</v>
      </c>
      <c r="E187">
        <f>48902.8015+1.1916*cleaned_data!E189+33.6481*cleaned_data!F189-47714.01*cleaned_data!G189+3060.02*cleaned_data!I189+12599.55*cleaned_data!L189+13910.89*cleaned_data!K189+6379.19*dummy_variables!F189+18875.59*dummy_variables!G189+19293.73*dummy_variables!H189+41615.6*dummy_variables!I189+18404.23*dummy_variables!J189+29423.23*dummy_variables!K189</f>
        <v>704941.80943999998</v>
      </c>
      <c r="F187">
        <f t="shared" si="2"/>
        <v>7604.5705600000219</v>
      </c>
    </row>
    <row r="188" spans="1:6">
      <c r="A188" s="8" t="s">
        <v>68</v>
      </c>
      <c r="B188" t="s">
        <v>20</v>
      </c>
      <c r="C188" t="s">
        <v>18</v>
      </c>
      <c r="D188">
        <v>678311.17</v>
      </c>
      <c r="E188">
        <f>48902.8015+1.1916*cleaned_data!E187+33.6481*cleaned_data!F187-47714.01*cleaned_data!G187+3060.02*cleaned_data!I187+12599.55*cleaned_data!L187+13910.89*cleaned_data!K187+6379.19*dummy_variables!F187+18875.59*dummy_variables!G187+19293.73*dummy_variables!H187+41615.6*dummy_variables!I187+18404.23*dummy_variables!J187+29423.23*dummy_variables!K187</f>
        <v>658491.4308979999</v>
      </c>
      <c r="F188">
        <f t="shared" si="2"/>
        <v>19819.739102000138</v>
      </c>
    </row>
    <row r="189" spans="1:6">
      <c r="A189" s="8" t="s">
        <v>68</v>
      </c>
      <c r="B189" t="s">
        <v>20</v>
      </c>
      <c r="C189" t="s">
        <v>18</v>
      </c>
      <c r="D189">
        <v>765906.95</v>
      </c>
      <c r="E189">
        <f>48902.8015+1.1916*cleaned_data!E188+33.6481*cleaned_data!F188-47714.01*cleaned_data!G188+3060.02*cleaned_data!I188+12599.55*cleaned_data!L188+13910.89*cleaned_data!K188+6379.19*dummy_variables!F188+18875.59*dummy_variables!G188+19293.73*dummy_variables!H188+41615.6*dummy_variables!I188+18404.23*dummy_variables!J188+29423.23*dummy_variables!K188</f>
        <v>718005.9588139999</v>
      </c>
      <c r="F189">
        <f t="shared" si="2"/>
        <v>47900.991186000057</v>
      </c>
    </row>
    <row r="190" spans="1:6">
      <c r="A190" s="8" t="s">
        <v>69</v>
      </c>
      <c r="B190" t="s">
        <v>15</v>
      </c>
      <c r="C190" t="s">
        <v>18</v>
      </c>
      <c r="D190">
        <v>554012.06999999995</v>
      </c>
      <c r="E190">
        <f>48902.8015+1.1916*cleaned_data!E193+33.6481*cleaned_data!F193-47714.01*cleaned_data!G193+3060.02*cleaned_data!I193+12599.55*cleaned_data!L193+13910.89*cleaned_data!K193+6379.19*dummy_variables!F193+18875.59*dummy_variables!G193+19293.73*dummy_variables!H193+41615.6*dummy_variables!I193+18404.23*dummy_variables!J193+29423.23*dummy_variables!K193</f>
        <v>599617.26602800004</v>
      </c>
      <c r="F190">
        <f t="shared" si="2"/>
        <v>-45605.196028000093</v>
      </c>
    </row>
    <row r="191" spans="1:6">
      <c r="A191" s="8" t="s">
        <v>69</v>
      </c>
      <c r="B191" t="s">
        <v>15</v>
      </c>
      <c r="C191" t="s">
        <v>18</v>
      </c>
      <c r="D191">
        <v>443275.59</v>
      </c>
      <c r="E191">
        <f>48902.8015+1.1916*cleaned_data!E192+33.6481*cleaned_data!F192-47714.01*cleaned_data!G192+3060.02*cleaned_data!I192+12599.55*cleaned_data!L192+13910.89*cleaned_data!K192+6379.19*dummy_variables!F192+18875.59*dummy_variables!G192+19293.73*dummy_variables!H192+41615.6*dummy_variables!I192+18404.23*dummy_variables!J192+29423.23*dummy_variables!K192</f>
        <v>447771.19231799996</v>
      </c>
      <c r="F191">
        <f t="shared" si="2"/>
        <v>-4495.602317999932</v>
      </c>
    </row>
    <row r="192" spans="1:6">
      <c r="A192" s="8" t="s">
        <v>69</v>
      </c>
      <c r="B192" t="s">
        <v>15</v>
      </c>
      <c r="C192" t="s">
        <v>18</v>
      </c>
      <c r="D192">
        <v>550962.93000000005</v>
      </c>
      <c r="E192">
        <f>48902.8015+1.1916*cleaned_data!E191+33.6481*cleaned_data!F191-47714.01*cleaned_data!G191+3060.02*cleaned_data!I191+12599.55*cleaned_data!L191+13910.89*cleaned_data!K191+6379.19*dummy_variables!F191+18875.59*dummy_variables!G191+19293.73*dummy_variables!H191+41615.6*dummy_variables!I191+18404.23*dummy_variables!J191+29423.23*dummy_variables!K191</f>
        <v>536069.84979600005</v>
      </c>
      <c r="F192">
        <f t="shared" si="2"/>
        <v>14893.080203999998</v>
      </c>
    </row>
    <row r="193" spans="1:6">
      <c r="A193" s="8" t="s">
        <v>69</v>
      </c>
      <c r="B193" t="s">
        <v>15</v>
      </c>
      <c r="C193" t="s">
        <v>18</v>
      </c>
      <c r="D193">
        <v>625993.82999999996</v>
      </c>
      <c r="E193">
        <f>48902.8015+1.1916*cleaned_data!E190+33.6481*cleaned_data!F190-47714.01*cleaned_data!G190+3060.02*cleaned_data!I190+12599.55*cleaned_data!L190+13910.89*cleaned_data!K190+6379.19*dummy_variables!F190+18875.59*dummy_variables!G190+19293.73*dummy_variables!H190+41615.6*dummy_variables!I190+18404.23*dummy_variables!J190+29423.23*dummy_variables!K190</f>
        <v>586689.64113999996</v>
      </c>
      <c r="F193">
        <f t="shared" si="2"/>
        <v>39304.188859999995</v>
      </c>
    </row>
    <row r="194" spans="1:6">
      <c r="A194" s="8" t="s">
        <v>70</v>
      </c>
      <c r="B194" t="s">
        <v>27</v>
      </c>
      <c r="C194" t="s">
        <v>16</v>
      </c>
      <c r="D194">
        <v>449465.06</v>
      </c>
      <c r="E194">
        <f>48902.8015+1.1916*cleaned_data!E197+33.6481*cleaned_data!F197-47714.01*cleaned_data!G197+3060.02*cleaned_data!I197+12599.55*cleaned_data!L197+13910.89*cleaned_data!K197+6379.19*dummy_variables!F197+18875.59*dummy_variables!G197+19293.73*dummy_variables!H197+41615.6*dummy_variables!I197+18404.23*dummy_variables!J197+29423.23*dummy_variables!K197</f>
        <v>524119.96853400004</v>
      </c>
      <c r="F194">
        <f t="shared" ref="F194:F257" si="3">D194-E194</f>
        <v>-74654.908534000046</v>
      </c>
    </row>
    <row r="195" spans="1:6">
      <c r="A195" s="8" t="s">
        <v>70</v>
      </c>
      <c r="B195" t="s">
        <v>27</v>
      </c>
      <c r="C195" t="s">
        <v>16</v>
      </c>
      <c r="D195">
        <v>643428.85</v>
      </c>
      <c r="E195">
        <f>48902.8015+1.1916*cleaned_data!E194+33.6481*cleaned_data!F194-47714.01*cleaned_data!G194+3060.02*cleaned_data!I194+12599.55*cleaned_data!L194+13910.89*cleaned_data!K194+6379.19*dummy_variables!F194+18875.59*dummy_variables!G194+19293.73*dummy_variables!H194+41615.6*dummy_variables!I194+18404.23*dummy_variables!J194+29423.23*dummy_variables!K194</f>
        <v>674979.06094400003</v>
      </c>
      <c r="F195">
        <f t="shared" si="3"/>
        <v>-31550.210944000049</v>
      </c>
    </row>
    <row r="196" spans="1:6">
      <c r="A196" s="8" t="s">
        <v>70</v>
      </c>
      <c r="B196" t="s">
        <v>27</v>
      </c>
      <c r="C196" t="s">
        <v>16</v>
      </c>
      <c r="D196">
        <v>611924.27</v>
      </c>
      <c r="E196">
        <f>48902.8015+1.1916*cleaned_data!E195+33.6481*cleaned_data!F195-47714.01*cleaned_data!G195+3060.02*cleaned_data!I195+12599.55*cleaned_data!L195+13910.89*cleaned_data!K195+6379.19*dummy_variables!F195+18875.59*dummy_variables!G195+19293.73*dummy_variables!H195+41615.6*dummy_variables!I195+18404.23*dummy_variables!J195+29423.23*dummy_variables!K195</f>
        <v>606388.0701880001</v>
      </c>
      <c r="F196">
        <f t="shared" si="3"/>
        <v>5536.1998119999189</v>
      </c>
    </row>
    <row r="197" spans="1:6">
      <c r="A197" s="8" t="s">
        <v>70</v>
      </c>
      <c r="B197" t="s">
        <v>27</v>
      </c>
      <c r="C197" t="s">
        <v>16</v>
      </c>
      <c r="D197">
        <v>559422.02</v>
      </c>
      <c r="E197">
        <f>48902.8015+1.1916*cleaned_data!E196+33.6481*cleaned_data!F196-47714.01*cleaned_data!G196+3060.02*cleaned_data!I196+12599.55*cleaned_data!L196+13910.89*cleaned_data!K196+6379.19*dummy_variables!F196+18875.59*dummy_variables!G196+19293.73*dummy_variables!H196+41615.6*dummy_variables!I196+18404.23*dummy_variables!J196+29423.23*dummy_variables!K196</f>
        <v>550783.18039799994</v>
      </c>
      <c r="F197">
        <f t="shared" si="3"/>
        <v>8638.83960200008</v>
      </c>
    </row>
    <row r="198" spans="1:6">
      <c r="A198" s="8" t="s">
        <v>71</v>
      </c>
      <c r="B198" t="s">
        <v>20</v>
      </c>
      <c r="C198" t="s">
        <v>16</v>
      </c>
      <c r="D198">
        <v>578949.84</v>
      </c>
      <c r="E198">
        <f>48902.8015+1.1916*cleaned_data!E200+33.6481*cleaned_data!F200-47714.01*cleaned_data!G200+3060.02*cleaned_data!I200+12599.55*cleaned_data!L200+13910.89*cleaned_data!K200+6379.19*dummy_variables!F200+18875.59*dummy_variables!G200+19293.73*dummy_variables!H200+41615.6*dummy_variables!I200+18404.23*dummy_variables!J200+29423.23*dummy_variables!K200</f>
        <v>606543.73448799981</v>
      </c>
      <c r="F198">
        <f t="shared" si="3"/>
        <v>-27593.894487999845</v>
      </c>
    </row>
    <row r="199" spans="1:6">
      <c r="A199" s="8" t="s">
        <v>71</v>
      </c>
      <c r="B199" t="s">
        <v>20</v>
      </c>
      <c r="C199" t="s">
        <v>16</v>
      </c>
      <c r="D199">
        <v>574066.61</v>
      </c>
      <c r="E199">
        <f>48902.8015+1.1916*cleaned_data!E199+33.6481*cleaned_data!F199-47714.01*cleaned_data!G199+3060.02*cleaned_data!I199+12599.55*cleaned_data!L199+13910.89*cleaned_data!K199+6379.19*dummy_variables!F199+18875.59*dummy_variables!G199+19293.73*dummy_variables!H199+41615.6*dummy_variables!I199+18404.23*dummy_variables!J199+29423.23*dummy_variables!K199</f>
        <v>600446.83205799991</v>
      </c>
      <c r="F199">
        <f t="shared" si="3"/>
        <v>-26380.222057999927</v>
      </c>
    </row>
    <row r="200" spans="1:6">
      <c r="A200" s="8" t="s">
        <v>71</v>
      </c>
      <c r="B200" t="s">
        <v>20</v>
      </c>
      <c r="C200" t="s">
        <v>16</v>
      </c>
      <c r="D200">
        <v>691447.43</v>
      </c>
      <c r="E200">
        <f>48902.8015+1.1916*cleaned_data!E198+33.6481*cleaned_data!F198-47714.01*cleaned_data!G198+3060.02*cleaned_data!I198+12599.55*cleaned_data!L198+13910.89*cleaned_data!K198+6379.19*dummy_variables!F198+18875.59*dummy_variables!G198+19293.73*dummy_variables!H198+41615.6*dummy_variables!I198+18404.23*dummy_variables!J198+29423.23*dummy_variables!K198</f>
        <v>630551.16533999983</v>
      </c>
      <c r="F200">
        <f t="shared" si="3"/>
        <v>60896.264660000219</v>
      </c>
    </row>
    <row r="201" spans="1:6">
      <c r="A201" s="8" t="s">
        <v>71</v>
      </c>
      <c r="B201" t="s">
        <v>20</v>
      </c>
      <c r="C201" t="s">
        <v>16</v>
      </c>
      <c r="D201">
        <v>735786.64</v>
      </c>
      <c r="E201">
        <f>48902.8015+1.1916*cleaned_data!E201+33.6481*cleaned_data!F201-47714.01*cleaned_data!G201+3060.02*cleaned_data!I201+12599.55*cleaned_data!L201+13910.89*cleaned_data!K201+6379.19*dummy_variables!F201+18875.59*dummy_variables!G201+19293.73*dummy_variables!H201+41615.6*dummy_variables!I201+18404.23*dummy_variables!J201+29423.23*dummy_variables!K201</f>
        <v>642886.30998999986</v>
      </c>
      <c r="F201">
        <f t="shared" si="3"/>
        <v>92900.330010000151</v>
      </c>
    </row>
    <row r="202" spans="1:6">
      <c r="A202" s="8" t="s">
        <v>72</v>
      </c>
      <c r="B202" t="s">
        <v>15</v>
      </c>
      <c r="C202" t="s">
        <v>21</v>
      </c>
      <c r="D202">
        <v>607084.92000000004</v>
      </c>
      <c r="E202">
        <f>48902.8015+1.1916*cleaned_data!E204+33.6481*cleaned_data!F204-47714.01*cleaned_data!G204+3060.02*cleaned_data!I204+12599.55*cleaned_data!L204+13910.89*cleaned_data!K204+6379.19*dummy_variables!F204+18875.59*dummy_variables!G204+19293.73*dummy_variables!H204+41615.6*dummy_variables!I204+18404.23*dummy_variables!J204+29423.23*dummy_variables!K204</f>
        <v>687135.27564799995</v>
      </c>
      <c r="F202">
        <f t="shared" si="3"/>
        <v>-80050.35564799991</v>
      </c>
    </row>
    <row r="203" spans="1:6">
      <c r="A203" s="8" t="s">
        <v>72</v>
      </c>
      <c r="B203" t="s">
        <v>15</v>
      </c>
      <c r="C203" t="s">
        <v>21</v>
      </c>
      <c r="D203">
        <v>598904.9</v>
      </c>
      <c r="E203">
        <f>48902.8015+1.1916*cleaned_data!E202+33.6481*cleaned_data!F202-47714.01*cleaned_data!G202+3060.02*cleaned_data!I202+12599.55*cleaned_data!L202+13910.89*cleaned_data!K202+6379.19*dummy_variables!F202+18875.59*dummy_variables!G202+19293.73*dummy_variables!H202+41615.6*dummy_variables!I202+18404.23*dummy_variables!J202+29423.23*dummy_variables!K202</f>
        <v>641134.60515800002</v>
      </c>
      <c r="F203">
        <f t="shared" si="3"/>
        <v>-42229.705157999997</v>
      </c>
    </row>
    <row r="204" spans="1:6">
      <c r="A204" s="8" t="s">
        <v>72</v>
      </c>
      <c r="B204" t="s">
        <v>15</v>
      </c>
      <c r="C204" t="s">
        <v>21</v>
      </c>
      <c r="D204">
        <v>650795.49</v>
      </c>
      <c r="E204">
        <f>48902.8015+1.1916*cleaned_data!E205+33.6481*cleaned_data!F205-47714.01*cleaned_data!G205+3060.02*cleaned_data!I205+12599.55*cleaned_data!L205+13910.89*cleaned_data!K205+6379.19*dummy_variables!F205+18875.59*dummy_variables!G205+19293.73*dummy_variables!H205+41615.6*dummy_variables!I205+18404.23*dummy_variables!J205+29423.23*dummy_variables!K205</f>
        <v>685060.6777779999</v>
      </c>
      <c r="F204">
        <f t="shared" si="3"/>
        <v>-34265.187777999905</v>
      </c>
    </row>
    <row r="205" spans="1:6">
      <c r="A205" s="8" t="s">
        <v>72</v>
      </c>
      <c r="B205" t="s">
        <v>15</v>
      </c>
      <c r="C205" t="s">
        <v>21</v>
      </c>
      <c r="D205">
        <v>787715.51</v>
      </c>
      <c r="E205">
        <f>48902.8015+1.1916*cleaned_data!E203+33.6481*cleaned_data!F203-47714.01*cleaned_data!G203+3060.02*cleaned_data!I203+12599.55*cleaned_data!L203+13910.89*cleaned_data!K203+6379.19*dummy_variables!F203+18875.59*dummy_variables!G203+19293.73*dummy_variables!H203+41615.6*dummy_variables!I203+18404.23*dummy_variables!J203+29423.23*dummy_variables!K203</f>
        <v>708630.75235199998</v>
      </c>
      <c r="F205">
        <f t="shared" si="3"/>
        <v>79084.757648000028</v>
      </c>
    </row>
    <row r="206" spans="1:6">
      <c r="A206" s="8" t="s">
        <v>73</v>
      </c>
      <c r="B206" t="s">
        <v>15</v>
      </c>
      <c r="C206" t="s">
        <v>28</v>
      </c>
      <c r="D206">
        <v>675917.63</v>
      </c>
      <c r="E206">
        <f>48902.8015+1.1916*cleaned_data!E209+33.6481*cleaned_data!F209-47714.01*cleaned_data!G209+3060.02*cleaned_data!I209+12599.55*cleaned_data!L209+13910.89*cleaned_data!K209+6379.19*dummy_variables!F209+18875.59*dummy_variables!G209+19293.73*dummy_variables!H209+41615.6*dummy_variables!I209+18404.23*dummy_variables!J209+29423.23*dummy_variables!K209</f>
        <v>752430.30746799987</v>
      </c>
      <c r="F206">
        <f t="shared" si="3"/>
        <v>-76512.677467999863</v>
      </c>
    </row>
    <row r="207" spans="1:6">
      <c r="A207" s="8" t="s">
        <v>73</v>
      </c>
      <c r="B207" t="s">
        <v>15</v>
      </c>
      <c r="C207" t="s">
        <v>28</v>
      </c>
      <c r="D207">
        <v>671868.59</v>
      </c>
      <c r="E207">
        <f>48902.8015+1.1916*cleaned_data!E208+33.6481*cleaned_data!F208-47714.01*cleaned_data!G208+3060.02*cleaned_data!I208+12599.55*cleaned_data!L208+13910.89*cleaned_data!K208+6379.19*dummy_variables!F208+18875.59*dummy_variables!G208+19293.73*dummy_variables!H208+41615.6*dummy_variables!I208+18404.23*dummy_variables!J208+29423.23*dummy_variables!K208</f>
        <v>730044.91516999993</v>
      </c>
      <c r="F207">
        <f t="shared" si="3"/>
        <v>-58176.325169999967</v>
      </c>
    </row>
    <row r="208" spans="1:6">
      <c r="A208" s="8" t="s">
        <v>73</v>
      </c>
      <c r="B208" t="s">
        <v>15</v>
      </c>
      <c r="C208" t="s">
        <v>28</v>
      </c>
      <c r="D208">
        <v>825060.52</v>
      </c>
      <c r="E208">
        <f>48902.8015+1.1916*cleaned_data!E206+33.6481*cleaned_data!F206-47714.01*cleaned_data!G206+3060.02*cleaned_data!I206+12599.55*cleaned_data!L206+13910.89*cleaned_data!K206+6379.19*dummy_variables!F206+18875.59*dummy_variables!G206+19293.73*dummy_variables!H206+41615.6*dummy_variables!I206+18404.23*dummy_variables!J206+29423.23*dummy_variables!K206</f>
        <v>838748.27822399989</v>
      </c>
      <c r="F208">
        <f t="shared" si="3"/>
        <v>-13687.758223999874</v>
      </c>
    </row>
    <row r="209" spans="1:6">
      <c r="A209" s="8" t="s">
        <v>73</v>
      </c>
      <c r="B209" t="s">
        <v>15</v>
      </c>
      <c r="C209" t="s">
        <v>28</v>
      </c>
      <c r="D209">
        <v>795464.47</v>
      </c>
      <c r="E209">
        <f>48902.8015+1.1916*cleaned_data!E207+33.6481*cleaned_data!F207-47714.01*cleaned_data!G207+3060.02*cleaned_data!I207+12599.55*cleaned_data!L207+13910.89*cleaned_data!K207+6379.19*dummy_variables!F207+18875.59*dummy_variables!G207+19293.73*dummy_variables!H207+41615.6*dummy_variables!I207+18404.23*dummy_variables!J207+29423.23*dummy_variables!K207</f>
        <v>737470.55362199992</v>
      </c>
      <c r="F209">
        <f t="shared" si="3"/>
        <v>57993.916378000053</v>
      </c>
    </row>
    <row r="210" spans="1:6">
      <c r="A210" s="8" t="s">
        <v>74</v>
      </c>
      <c r="B210" t="s">
        <v>15</v>
      </c>
      <c r="C210" t="s">
        <v>18</v>
      </c>
      <c r="D210">
        <v>691288.19</v>
      </c>
      <c r="E210">
        <f>48902.8015+1.1916*cleaned_data!E211+33.6481*cleaned_data!F211-47714.01*cleaned_data!G211+3060.02*cleaned_data!I211+12599.55*cleaned_data!L211+13910.89*cleaned_data!K211+6379.19*dummy_variables!F211+18875.59*dummy_variables!G211+19293.73*dummy_variables!H211+41615.6*dummy_variables!I211+18404.23*dummy_variables!J211+29423.23*dummy_variables!K211</f>
        <v>753776.74110999994</v>
      </c>
      <c r="F210">
        <f t="shared" si="3"/>
        <v>-62488.55111</v>
      </c>
    </row>
    <row r="211" spans="1:6">
      <c r="A211" s="8" t="s">
        <v>74</v>
      </c>
      <c r="B211" t="s">
        <v>15</v>
      </c>
      <c r="C211" t="s">
        <v>18</v>
      </c>
      <c r="D211">
        <v>946833.54</v>
      </c>
      <c r="E211">
        <f>48902.8015+1.1916*cleaned_data!E212+33.6481*cleaned_data!F212-47714.01*cleaned_data!G212+3060.02*cleaned_data!I212+12599.55*cleaned_data!L212+13910.89*cleaned_data!K212+6379.19*dummy_variables!F212+18875.59*dummy_variables!G212+19293.73*dummy_variables!H212+41615.6*dummy_variables!I212+18404.23*dummy_variables!J212+29423.23*dummy_variables!K212</f>
        <v>968764.70961400005</v>
      </c>
      <c r="F211">
        <f t="shared" si="3"/>
        <v>-21931.169614000013</v>
      </c>
    </row>
    <row r="212" spans="1:6">
      <c r="A212" s="8" t="s">
        <v>74</v>
      </c>
      <c r="B212" t="s">
        <v>15</v>
      </c>
      <c r="C212" t="s">
        <v>18</v>
      </c>
      <c r="D212">
        <v>761963.23</v>
      </c>
      <c r="E212">
        <f>48902.8015+1.1916*cleaned_data!E213+33.6481*cleaned_data!F213-47714.01*cleaned_data!G213+3060.02*cleaned_data!I213+12599.55*cleaned_data!L213+13910.89*cleaned_data!K213+6379.19*dummy_variables!F213+18875.59*dummy_variables!G213+19293.73*dummy_variables!H213+41615.6*dummy_variables!I213+18404.23*dummy_variables!J213+29423.23*dummy_variables!K213</f>
        <v>767757.68647000007</v>
      </c>
      <c r="F212">
        <f t="shared" si="3"/>
        <v>-5794.4564700000919</v>
      </c>
    </row>
    <row r="213" spans="1:6">
      <c r="A213" s="8" t="s">
        <v>74</v>
      </c>
      <c r="B213" t="s">
        <v>15</v>
      </c>
      <c r="C213" t="s">
        <v>18</v>
      </c>
      <c r="D213">
        <v>810446.53</v>
      </c>
      <c r="E213">
        <f>48902.8015+1.1916*cleaned_data!E210+33.6481*cleaned_data!F210-47714.01*cleaned_data!G210+3060.02*cleaned_data!I210+12599.55*cleaned_data!L210+13910.89*cleaned_data!K210+6379.19*dummy_variables!F210+18875.59*dummy_variables!G210+19293.73*dummy_variables!H210+41615.6*dummy_variables!I210+18404.23*dummy_variables!J210+29423.23*dummy_variables!K210</f>
        <v>805732.33763399988</v>
      </c>
      <c r="F213">
        <f t="shared" si="3"/>
        <v>4714.1923660001485</v>
      </c>
    </row>
    <row r="214" spans="1:6">
      <c r="A214" s="8" t="s">
        <v>75</v>
      </c>
      <c r="B214" t="s">
        <v>27</v>
      </c>
      <c r="C214" t="s">
        <v>16</v>
      </c>
      <c r="D214">
        <v>752321.72</v>
      </c>
      <c r="E214">
        <f>48902.8015+1.1916*cleaned_data!E216+33.6481*cleaned_data!F216-47714.01*cleaned_data!G216+3060.02*cleaned_data!I216+12599.55*cleaned_data!L216+13910.89*cleaned_data!K216+6379.19*dummy_variables!F216+18875.59*dummy_variables!G216+19293.73*dummy_variables!H216+41615.6*dummy_variables!I216+18404.23*dummy_variables!J216+29423.23*dummy_variables!K216</f>
        <v>763257.80996400001</v>
      </c>
      <c r="F214">
        <f t="shared" si="3"/>
        <v>-10936.089964000043</v>
      </c>
    </row>
    <row r="215" spans="1:6">
      <c r="A215" s="8" t="s">
        <v>75</v>
      </c>
      <c r="B215" t="s">
        <v>27</v>
      </c>
      <c r="C215" t="s">
        <v>16</v>
      </c>
      <c r="D215">
        <v>836908.24</v>
      </c>
      <c r="E215">
        <f>48902.8015+1.1916*cleaned_data!E217+33.6481*cleaned_data!F217-47714.01*cleaned_data!G217+3060.02*cleaned_data!I217+12599.55*cleaned_data!L217+13910.89*cleaned_data!K217+6379.19*dummy_variables!F217+18875.59*dummy_variables!G217+19293.73*dummy_variables!H217+41615.6*dummy_variables!I217+18404.23*dummy_variables!J217+29423.23*dummy_variables!K217</f>
        <v>827563.63227400009</v>
      </c>
      <c r="F215">
        <f t="shared" si="3"/>
        <v>9344.6077259999001</v>
      </c>
    </row>
    <row r="216" spans="1:6">
      <c r="A216" s="8" t="s">
        <v>75</v>
      </c>
      <c r="B216" t="s">
        <v>27</v>
      </c>
      <c r="C216" t="s">
        <v>16</v>
      </c>
      <c r="D216">
        <v>812152.6</v>
      </c>
      <c r="E216">
        <f>48902.8015+1.1916*cleaned_data!E214+33.6481*cleaned_data!F214-47714.01*cleaned_data!G214+3060.02*cleaned_data!I214+12599.55*cleaned_data!L214+13910.89*cleaned_data!K214+6379.19*dummy_variables!F214+18875.59*dummy_variables!G214+19293.73*dummy_variables!H214+41615.6*dummy_variables!I214+18404.23*dummy_variables!J214+29423.23*dummy_variables!K214</f>
        <v>772979.10342599987</v>
      </c>
      <c r="F216">
        <f t="shared" si="3"/>
        <v>39173.496574000106</v>
      </c>
    </row>
    <row r="217" spans="1:6">
      <c r="A217" s="8" t="s">
        <v>75</v>
      </c>
      <c r="B217" t="s">
        <v>27</v>
      </c>
      <c r="C217" t="s">
        <v>16</v>
      </c>
      <c r="D217">
        <v>804975.5</v>
      </c>
      <c r="E217">
        <f>48902.8015+1.1916*cleaned_data!E215+33.6481*cleaned_data!F215-47714.01*cleaned_data!G215+3060.02*cleaned_data!I215+12599.55*cleaned_data!L215+13910.89*cleaned_data!K215+6379.19*dummy_variables!F215+18875.59*dummy_variables!G215+19293.73*dummy_variables!H215+41615.6*dummy_variables!I215+18404.23*dummy_variables!J215+29423.23*dummy_variables!K215</f>
        <v>758947.33381999994</v>
      </c>
      <c r="F217">
        <f t="shared" si="3"/>
        <v>46028.166180000058</v>
      </c>
    </row>
    <row r="218" spans="1:6">
      <c r="A218" s="8" t="s">
        <v>76</v>
      </c>
      <c r="B218" t="s">
        <v>20</v>
      </c>
      <c r="C218" t="s">
        <v>21</v>
      </c>
      <c r="D218">
        <v>622892.42000000004</v>
      </c>
      <c r="E218">
        <f>48902.8015+1.1916*cleaned_data!E219+33.6481*cleaned_data!F219-47714.01*cleaned_data!G219+3060.02*cleaned_data!I219+12599.55*cleaned_data!L219+13910.89*cleaned_data!K219+6379.19*dummy_variables!F219+18875.59*dummy_variables!G219+19293.73*dummy_variables!H219+41615.6*dummy_variables!I219+18404.23*dummy_variables!J219+29423.23*dummy_variables!K219</f>
        <v>632068.95186799997</v>
      </c>
      <c r="F218">
        <f t="shared" si="3"/>
        <v>-9176.5318679999327</v>
      </c>
    </row>
    <row r="219" spans="1:6">
      <c r="A219" s="8" t="s">
        <v>76</v>
      </c>
      <c r="B219" t="s">
        <v>20</v>
      </c>
      <c r="C219" t="s">
        <v>21</v>
      </c>
      <c r="D219">
        <v>606278.30000000005</v>
      </c>
      <c r="E219">
        <f>48902.8015+1.1916*cleaned_data!E221+33.6481*cleaned_data!F221-47714.01*cleaned_data!G221+3060.02*cleaned_data!I221+12599.55*cleaned_data!L221+13910.89*cleaned_data!K221+6379.19*dummy_variables!F221+18875.59*dummy_variables!G221+19293.73*dummy_variables!H221+41615.6*dummy_variables!I221+18404.23*dummy_variables!J221+29423.23*dummy_variables!K221</f>
        <v>610155.62742999999</v>
      </c>
      <c r="F219">
        <f t="shared" si="3"/>
        <v>-3877.3274299999466</v>
      </c>
    </row>
    <row r="220" spans="1:6">
      <c r="A220" s="8" t="s">
        <v>76</v>
      </c>
      <c r="B220" t="s">
        <v>20</v>
      </c>
      <c r="C220" t="s">
        <v>21</v>
      </c>
      <c r="D220">
        <v>674289.1</v>
      </c>
      <c r="E220">
        <f>48902.8015+1.1916*cleaned_data!E218+33.6481*cleaned_data!F218-47714.01*cleaned_data!G218+3060.02*cleaned_data!I218+12599.55*cleaned_data!L218+13910.89*cleaned_data!K218+6379.19*dummy_variables!F218+18875.59*dummy_variables!G218+19293.73*dummy_variables!H218+41615.6*dummy_variables!I218+18404.23*dummy_variables!J218+29423.23*dummy_variables!K218</f>
        <v>650073.18210399989</v>
      </c>
      <c r="F220">
        <f t="shared" si="3"/>
        <v>24215.917896000086</v>
      </c>
    </row>
    <row r="221" spans="1:6">
      <c r="A221" s="8" t="s">
        <v>76</v>
      </c>
      <c r="B221" t="s">
        <v>20</v>
      </c>
      <c r="C221" t="s">
        <v>21</v>
      </c>
      <c r="D221">
        <v>673348.56</v>
      </c>
      <c r="E221">
        <f>48902.8015+1.1916*cleaned_data!E220+33.6481*cleaned_data!F220-47714.01*cleaned_data!G220+3060.02*cleaned_data!I220+12599.55*cleaned_data!L220+13910.89*cleaned_data!K220+6379.19*dummy_variables!F220+18875.59*dummy_variables!G220+19293.73*dummy_variables!H220+41615.6*dummy_variables!I220+18404.23*dummy_variables!J220+29423.23*dummy_variables!K220</f>
        <v>630487.89413799986</v>
      </c>
      <c r="F221">
        <f t="shared" si="3"/>
        <v>42860.665862000198</v>
      </c>
    </row>
    <row r="222" spans="1:6">
      <c r="A222" s="8" t="s">
        <v>77</v>
      </c>
      <c r="B222" t="s">
        <v>15</v>
      </c>
      <c r="C222" t="s">
        <v>18</v>
      </c>
      <c r="D222">
        <v>723531.4</v>
      </c>
      <c r="E222">
        <f>48902.8015+1.1916*cleaned_data!E225+33.6481*cleaned_data!F225-47714.01*cleaned_data!G225+3060.02*cleaned_data!I225+12599.55*cleaned_data!L225+13910.89*cleaned_data!K225+6379.19*dummy_variables!F225+18875.59*dummy_variables!G225+19293.73*dummy_variables!H225+41615.6*dummy_variables!I225+18404.23*dummy_variables!J225+29423.23*dummy_variables!K225</f>
        <v>752087.334134</v>
      </c>
      <c r="F222">
        <f t="shared" si="3"/>
        <v>-28555.934133999981</v>
      </c>
    </row>
    <row r="223" spans="1:6">
      <c r="A223" s="8" t="s">
        <v>77</v>
      </c>
      <c r="B223" t="s">
        <v>15</v>
      </c>
      <c r="C223" t="s">
        <v>18</v>
      </c>
      <c r="D223">
        <v>712219.81</v>
      </c>
      <c r="E223">
        <f>48902.8015+1.1916*cleaned_data!E222+33.6481*cleaned_data!F222-47714.01*cleaned_data!G222+3060.02*cleaned_data!I222+12599.55*cleaned_data!L222+13910.89*cleaned_data!K222+6379.19*dummy_variables!F222+18875.59*dummy_variables!G222+19293.73*dummy_variables!H222+41615.6*dummy_variables!I222+18404.23*dummy_variables!J222+29423.23*dummy_variables!K222</f>
        <v>708289.06220799999</v>
      </c>
      <c r="F223">
        <f t="shared" si="3"/>
        <v>3930.7477920000674</v>
      </c>
    </row>
    <row r="224" spans="1:6">
      <c r="A224" s="8" t="s">
        <v>77</v>
      </c>
      <c r="B224" t="s">
        <v>15</v>
      </c>
      <c r="C224" t="s">
        <v>18</v>
      </c>
      <c r="D224">
        <v>732667.92</v>
      </c>
      <c r="E224">
        <f>48902.8015+1.1916*cleaned_data!E224+33.6481*cleaned_data!F224-47714.01*cleaned_data!G224+3060.02*cleaned_data!I224+12599.55*cleaned_data!L224+13910.89*cleaned_data!K224+6379.19*dummy_variables!F224+18875.59*dummy_variables!G224+19293.73*dummy_variables!H224+41615.6*dummy_variables!I224+18404.23*dummy_variables!J224+29423.23*dummy_variables!K224</f>
        <v>724916.35832400003</v>
      </c>
      <c r="F224">
        <f t="shared" si="3"/>
        <v>7751.5616760000121</v>
      </c>
    </row>
    <row r="225" spans="1:6">
      <c r="A225" s="8" t="s">
        <v>77</v>
      </c>
      <c r="B225" t="s">
        <v>15</v>
      </c>
      <c r="C225" t="s">
        <v>18</v>
      </c>
      <c r="D225">
        <v>672670.54</v>
      </c>
      <c r="E225">
        <f>48902.8015+1.1916*cleaned_data!E223+33.6481*cleaned_data!F223-47714.01*cleaned_data!G223+3060.02*cleaned_data!I223+12599.55*cleaned_data!L223+13910.89*cleaned_data!K223+6379.19*dummy_variables!F223+18875.59*dummy_variables!G223+19293.73*dummy_variables!H223+41615.6*dummy_variables!I223+18404.23*dummy_variables!J223+29423.23*dummy_variables!K223</f>
        <v>663496.1380439999</v>
      </c>
      <c r="F225">
        <f t="shared" si="3"/>
        <v>9174.4019560001325</v>
      </c>
    </row>
    <row r="226" spans="1:6">
      <c r="A226" s="8" t="s">
        <v>78</v>
      </c>
      <c r="B226" t="s">
        <v>15</v>
      </c>
      <c r="C226" t="s">
        <v>28</v>
      </c>
      <c r="D226">
        <v>527681.56000000006</v>
      </c>
      <c r="E226">
        <f>48902.8015+1.1916*cleaned_data!E228+33.6481*cleaned_data!F228-47714.01*cleaned_data!G228+3060.02*cleaned_data!I228+12599.55*cleaned_data!L228+13910.89*cleaned_data!K228+6379.19*dummy_variables!F228+18875.59*dummy_variables!G228+19293.73*dummy_variables!H228+41615.6*dummy_variables!I228+18404.23*dummy_variables!J228+29423.23*dummy_variables!K228</f>
        <v>547782.35302200005</v>
      </c>
      <c r="F226">
        <f t="shared" si="3"/>
        <v>-20100.793021999998</v>
      </c>
    </row>
    <row r="227" spans="1:6">
      <c r="A227" s="8" t="s">
        <v>78</v>
      </c>
      <c r="B227" t="s">
        <v>15</v>
      </c>
      <c r="C227" t="s">
        <v>28</v>
      </c>
      <c r="D227">
        <v>536545.49</v>
      </c>
      <c r="E227">
        <f>48902.8015+1.1916*cleaned_data!E227+33.6481*cleaned_data!F227-47714.01*cleaned_data!G227+3060.02*cleaned_data!I227+12599.55*cleaned_data!L227+13910.89*cleaned_data!K227+6379.19*dummy_variables!F227+18875.59*dummy_variables!G227+19293.73*dummy_variables!H227+41615.6*dummy_variables!I227+18404.23*dummy_variables!J227+29423.23*dummy_variables!K227</f>
        <v>522910.50034799997</v>
      </c>
      <c r="F227">
        <f t="shared" si="3"/>
        <v>13634.989652000018</v>
      </c>
    </row>
    <row r="228" spans="1:6">
      <c r="A228" s="8" t="s">
        <v>78</v>
      </c>
      <c r="B228" t="s">
        <v>15</v>
      </c>
      <c r="C228" t="s">
        <v>28</v>
      </c>
      <c r="D228">
        <v>529598.93999999994</v>
      </c>
      <c r="E228">
        <f>48902.8015+1.1916*cleaned_data!E229+33.6481*cleaned_data!F229-47714.01*cleaned_data!G229+3060.02*cleaned_data!I229+12599.55*cleaned_data!L229+13910.89*cleaned_data!K229+6379.19*dummy_variables!F229+18875.59*dummy_variables!G229+19293.73*dummy_variables!H229+41615.6*dummy_variables!I229+18404.23*dummy_variables!J229+29423.23*dummy_variables!K229</f>
        <v>508134.13788999995</v>
      </c>
      <c r="F228">
        <f t="shared" si="3"/>
        <v>21464.80210999999</v>
      </c>
    </row>
    <row r="229" spans="1:6">
      <c r="A229" s="8" t="s">
        <v>78</v>
      </c>
      <c r="B229" t="s">
        <v>15</v>
      </c>
      <c r="C229" t="s">
        <v>28</v>
      </c>
      <c r="D229">
        <v>641564.6</v>
      </c>
      <c r="E229">
        <f>48902.8015+1.1916*cleaned_data!E226+33.6481*cleaned_data!F226-47714.01*cleaned_data!G226+3060.02*cleaned_data!I226+12599.55*cleaned_data!L226+13910.89*cleaned_data!K226+6379.19*dummy_variables!F226+18875.59*dummy_variables!G226+19293.73*dummy_variables!H226+41615.6*dummy_variables!I226+18404.23*dummy_variables!J226+29423.23*dummy_variables!K226</f>
        <v>613211.10958399996</v>
      </c>
      <c r="F229">
        <f t="shared" si="3"/>
        <v>28353.490416000015</v>
      </c>
    </row>
    <row r="230" spans="1:6">
      <c r="A230" s="8" t="s">
        <v>79</v>
      </c>
      <c r="B230" t="s">
        <v>15</v>
      </c>
      <c r="C230" t="s">
        <v>18</v>
      </c>
      <c r="D230">
        <v>570963.31000000006</v>
      </c>
      <c r="E230">
        <f>48902.8015+1.1916*cleaned_data!E230+33.6481*cleaned_data!F230-47714.01*cleaned_data!G230+3060.02*cleaned_data!I230+12599.55*cleaned_data!L230+13910.89*cleaned_data!K230+6379.19*dummy_variables!F230+18875.59*dummy_variables!G230+19293.73*dummy_variables!H230+41615.6*dummy_variables!I230+18404.23*dummy_variables!J230+29423.23*dummy_variables!K230</f>
        <v>619570.6289580001</v>
      </c>
      <c r="F230">
        <f t="shared" si="3"/>
        <v>-48607.318958000047</v>
      </c>
    </row>
    <row r="231" spans="1:6">
      <c r="A231" s="8" t="s">
        <v>79</v>
      </c>
      <c r="B231" t="s">
        <v>15</v>
      </c>
      <c r="C231" t="s">
        <v>18</v>
      </c>
      <c r="D231">
        <v>596969.27</v>
      </c>
      <c r="E231">
        <f>48902.8015+1.1916*cleaned_data!E232+33.6481*cleaned_data!F232-47714.01*cleaned_data!G232+3060.02*cleaned_data!I232+12599.55*cleaned_data!L232+13910.89*cleaned_data!K232+6379.19*dummy_variables!F232+18875.59*dummy_variables!G232+19293.73*dummy_variables!H232+41615.6*dummy_variables!I232+18404.23*dummy_variables!J232+29423.23*dummy_variables!K232</f>
        <v>626404.19013</v>
      </c>
      <c r="F231">
        <f t="shared" si="3"/>
        <v>-29434.920129999984</v>
      </c>
    </row>
    <row r="232" spans="1:6">
      <c r="A232" s="8" t="s">
        <v>79</v>
      </c>
      <c r="B232" t="s">
        <v>15</v>
      </c>
      <c r="C232" t="s">
        <v>18</v>
      </c>
      <c r="D232">
        <v>647512.85</v>
      </c>
      <c r="E232">
        <f>48902.8015+1.1916*cleaned_data!E233+33.6481*cleaned_data!F233-47714.01*cleaned_data!G233+3060.02*cleaned_data!I233+12599.55*cleaned_data!L233+13910.89*cleaned_data!K233+6379.19*dummy_variables!F233+18875.59*dummy_variables!G233+19293.73*dummy_variables!H233+41615.6*dummy_variables!I233+18404.23*dummy_variables!J233+29423.23*dummy_variables!K233</f>
        <v>620233.78032799996</v>
      </c>
      <c r="F232">
        <f t="shared" si="3"/>
        <v>27279.069672000012</v>
      </c>
    </row>
    <row r="233" spans="1:6">
      <c r="A233" s="8" t="s">
        <v>79</v>
      </c>
      <c r="B233" t="s">
        <v>15</v>
      </c>
      <c r="C233" t="s">
        <v>18</v>
      </c>
      <c r="D233">
        <v>870937.4</v>
      </c>
      <c r="E233">
        <f>48902.8015+1.1916*cleaned_data!E231+33.6481*cleaned_data!F231-47714.01*cleaned_data!G231+3060.02*cleaned_data!I231+12599.55*cleaned_data!L231+13910.89*cleaned_data!K231+6379.19*dummy_variables!F231+18875.59*dummy_variables!G231+19293.73*dummy_variables!H231+41615.6*dummy_variables!I231+18404.23*dummy_variables!J231+29423.23*dummy_variables!K231</f>
        <v>808889.16717999987</v>
      </c>
      <c r="F233">
        <f t="shared" si="3"/>
        <v>62048.23282000015</v>
      </c>
    </row>
    <row r="234" spans="1:6">
      <c r="A234" s="8" t="s">
        <v>80</v>
      </c>
      <c r="B234" t="s">
        <v>27</v>
      </c>
      <c r="C234" t="s">
        <v>16</v>
      </c>
      <c r="D234">
        <v>670629.48</v>
      </c>
      <c r="E234">
        <f>48902.8015+1.1916*cleaned_data!E237+33.6481*cleaned_data!F237-47714.01*cleaned_data!G237+3060.02*cleaned_data!I237+12599.55*cleaned_data!L237+13910.89*cleaned_data!K237+6379.19*dummy_variables!F237+18875.59*dummy_variables!G237+19293.73*dummy_variables!H237+41615.6*dummy_variables!I237+18404.23*dummy_variables!J237+29423.23*dummy_variables!K237</f>
        <v>661015.92943400005</v>
      </c>
      <c r="F234">
        <f t="shared" si="3"/>
        <v>9613.5505659999326</v>
      </c>
    </row>
    <row r="235" spans="1:6">
      <c r="A235" s="8" t="s">
        <v>80</v>
      </c>
      <c r="B235" t="s">
        <v>27</v>
      </c>
      <c r="C235" t="s">
        <v>16</v>
      </c>
      <c r="D235">
        <v>640666.53</v>
      </c>
      <c r="E235">
        <f>48902.8015+1.1916*cleaned_data!E236+33.6481*cleaned_data!F236-47714.01*cleaned_data!G236+3060.02*cleaned_data!I236+12599.55*cleaned_data!L236+13910.89*cleaned_data!K236+6379.19*dummy_variables!F236+18875.59*dummy_variables!G236+19293.73*dummy_variables!H236+41615.6*dummy_variables!I236+18404.23*dummy_variables!J236+29423.23*dummy_variables!K236</f>
        <v>630009.35515600001</v>
      </c>
      <c r="F235">
        <f t="shared" si="3"/>
        <v>10657.174844000023</v>
      </c>
    </row>
    <row r="236" spans="1:6">
      <c r="A236" s="8" t="s">
        <v>80</v>
      </c>
      <c r="B236" t="s">
        <v>27</v>
      </c>
      <c r="C236" t="s">
        <v>16</v>
      </c>
      <c r="D236">
        <v>658072.14</v>
      </c>
      <c r="E236">
        <f>48902.8015+1.1916*cleaned_data!E234+33.6481*cleaned_data!F234-47714.01*cleaned_data!G234+3060.02*cleaned_data!I234+12599.55*cleaned_data!L234+13910.89*cleaned_data!K234+6379.19*dummy_variables!F234+18875.59*dummy_variables!G234+19293.73*dummy_variables!H234+41615.6*dummy_variables!I234+18404.23*dummy_variables!J234+29423.23*dummy_variables!K234</f>
        <v>610471.20608199993</v>
      </c>
      <c r="F236">
        <f t="shared" si="3"/>
        <v>47600.933918000082</v>
      </c>
    </row>
    <row r="237" spans="1:6">
      <c r="A237" s="8" t="s">
        <v>80</v>
      </c>
      <c r="B237" t="s">
        <v>27</v>
      </c>
      <c r="C237" t="s">
        <v>16</v>
      </c>
      <c r="D237">
        <v>723305.11</v>
      </c>
      <c r="E237">
        <f>48902.8015+1.1916*cleaned_data!E235+33.6481*cleaned_data!F235-47714.01*cleaned_data!G235+3060.02*cleaned_data!I235+12599.55*cleaned_data!L235+13910.89*cleaned_data!K235+6379.19*dummy_variables!F235+18875.59*dummy_variables!G235+19293.73*dummy_variables!H235+41615.6*dummy_variables!I235+18404.23*dummy_variables!J235+29423.23*dummy_variables!K235</f>
        <v>638041.17170399986</v>
      </c>
      <c r="F237">
        <f t="shared" si="3"/>
        <v>85263.938296000124</v>
      </c>
    </row>
    <row r="238" spans="1:6">
      <c r="A238" s="8" t="s">
        <v>81</v>
      </c>
      <c r="B238" t="s">
        <v>27</v>
      </c>
      <c r="C238" t="s">
        <v>28</v>
      </c>
      <c r="D238">
        <v>721079.35</v>
      </c>
      <c r="E238">
        <f>48902.8015+1.1916*cleaned_data!E238+33.6481*cleaned_data!F238-47714.01*cleaned_data!G238+3060.02*cleaned_data!I238+12599.55*cleaned_data!L238+13910.89*cleaned_data!K238+6379.19*dummy_variables!F238+18875.59*dummy_variables!G238+19293.73*dummy_variables!H238+41615.6*dummy_variables!I238+18404.23*dummy_variables!J238+29423.23*dummy_variables!K238</f>
        <v>800819.78272999986</v>
      </c>
      <c r="F238">
        <f t="shared" si="3"/>
        <v>-79740.432729999884</v>
      </c>
    </row>
    <row r="239" spans="1:6">
      <c r="A239" s="8" t="s">
        <v>81</v>
      </c>
      <c r="B239" t="s">
        <v>27</v>
      </c>
      <c r="C239" t="s">
        <v>28</v>
      </c>
      <c r="D239">
        <v>810355.02</v>
      </c>
      <c r="E239">
        <f>48902.8015+1.1916*cleaned_data!E239+33.6481*cleaned_data!F239-47714.01*cleaned_data!G239+3060.02*cleaned_data!I239+12599.55*cleaned_data!L239+13910.89*cleaned_data!K239+6379.19*dummy_variables!F239+18875.59*dummy_variables!G239+19293.73*dummy_variables!H239+41615.6*dummy_variables!I239+18404.23*dummy_variables!J239+29423.23*dummy_variables!K239</f>
        <v>831336.19565999997</v>
      </c>
      <c r="F239">
        <f t="shared" si="3"/>
        <v>-20981.17565999995</v>
      </c>
    </row>
    <row r="240" spans="1:6">
      <c r="A240" s="8" t="s">
        <v>81</v>
      </c>
      <c r="B240" t="s">
        <v>27</v>
      </c>
      <c r="C240" t="s">
        <v>28</v>
      </c>
      <c r="D240">
        <v>761919.25</v>
      </c>
      <c r="E240">
        <f>48902.8015+1.1916*cleaned_data!E240+33.6481*cleaned_data!F240-47714.01*cleaned_data!G240+3060.02*cleaned_data!I240+12599.55*cleaned_data!L240+13910.89*cleaned_data!K240+6379.19*dummy_variables!F240+18875.59*dummy_variables!G240+19293.73*dummy_variables!H240+41615.6*dummy_variables!I240+18404.23*dummy_variables!J240+29423.23*dummy_variables!K240</f>
        <v>772733.24527000007</v>
      </c>
      <c r="F240">
        <f t="shared" si="3"/>
        <v>-10813.995270000072</v>
      </c>
    </row>
    <row r="241" spans="1:6">
      <c r="A241" s="8" t="s">
        <v>81</v>
      </c>
      <c r="B241" t="s">
        <v>27</v>
      </c>
      <c r="C241" t="s">
        <v>28</v>
      </c>
      <c r="D241">
        <v>737070.18</v>
      </c>
      <c r="E241">
        <f>48902.8015+1.1916*cleaned_data!E241+33.6481*cleaned_data!F241-47714.01*cleaned_data!G241+3060.02*cleaned_data!I241+12599.55*cleaned_data!L241+13910.89*cleaned_data!K241+6379.19*dummy_variables!F241+18875.59*dummy_variables!G241+19293.73*dummy_variables!H241+41615.6*dummy_variables!I241+18404.23*dummy_variables!J241+29423.23*dummy_variables!K241</f>
        <v>731122.78399999987</v>
      </c>
      <c r="F241">
        <f t="shared" si="3"/>
        <v>5947.3960000001825</v>
      </c>
    </row>
    <row r="242" spans="1:6">
      <c r="A242" s="8" t="s">
        <v>82</v>
      </c>
      <c r="B242" t="s">
        <v>24</v>
      </c>
      <c r="C242" t="s">
        <v>21</v>
      </c>
      <c r="D242">
        <v>763159.92</v>
      </c>
      <c r="E242">
        <f>48902.8015+1.1916*cleaned_data!E245+33.6481*cleaned_data!F245-47714.01*cleaned_data!G245+3060.02*cleaned_data!I245+12599.55*cleaned_data!L245+13910.89*cleaned_data!K245+6379.19*dummy_variables!F245+18875.59*dummy_variables!G245+19293.73*dummy_variables!H245+41615.6*dummy_variables!I245+18404.23*dummy_variables!J245+29423.23*dummy_variables!K245</f>
        <v>771631.75664399995</v>
      </c>
      <c r="F242">
        <f t="shared" si="3"/>
        <v>-8471.8366439999081</v>
      </c>
    </row>
    <row r="243" spans="1:6">
      <c r="A243" s="8" t="s">
        <v>82</v>
      </c>
      <c r="B243" t="s">
        <v>24</v>
      </c>
      <c r="C243" t="s">
        <v>21</v>
      </c>
      <c r="D243">
        <v>828219.67</v>
      </c>
      <c r="E243">
        <f>48902.8015+1.1916*cleaned_data!E244+33.6481*cleaned_data!F244-47714.01*cleaned_data!G244+3060.02*cleaned_data!I244+12599.55*cleaned_data!L244+13910.89*cleaned_data!K244+6379.19*dummy_variables!F244+18875.59*dummy_variables!G244+19293.73*dummy_variables!H244+41615.6*dummy_variables!I244+18404.23*dummy_variables!J244+29423.23*dummy_variables!K244</f>
        <v>829132.68960399996</v>
      </c>
      <c r="F243">
        <f t="shared" si="3"/>
        <v>-913.01960399991367</v>
      </c>
    </row>
    <row r="244" spans="1:6">
      <c r="A244" s="8" t="s">
        <v>82</v>
      </c>
      <c r="B244" t="s">
        <v>24</v>
      </c>
      <c r="C244" t="s">
        <v>21</v>
      </c>
      <c r="D244">
        <v>676337.41</v>
      </c>
      <c r="E244">
        <f>48902.8015+1.1916*cleaned_data!E243+33.6481*cleaned_data!F243-47714.01*cleaned_data!G243+3060.02*cleaned_data!I243+12599.55*cleaned_data!L243+13910.89*cleaned_data!K243+6379.19*dummy_variables!F243+18875.59*dummy_variables!G243+19293.73*dummy_variables!H243+41615.6*dummy_variables!I243+18404.23*dummy_variables!J243+29423.23*dummy_variables!K243</f>
        <v>666576.33326999994</v>
      </c>
      <c r="F244">
        <f t="shared" si="3"/>
        <v>9761.076730000088</v>
      </c>
    </row>
    <row r="245" spans="1:6">
      <c r="A245" s="8" t="s">
        <v>82</v>
      </c>
      <c r="B245" t="s">
        <v>24</v>
      </c>
      <c r="C245" t="s">
        <v>21</v>
      </c>
      <c r="D245">
        <v>776992.93</v>
      </c>
      <c r="E245">
        <f>48902.8015+1.1916*cleaned_data!E242+33.6481*cleaned_data!F242-47714.01*cleaned_data!G242+3060.02*cleaned_data!I242+12599.55*cleaned_data!L242+13910.89*cleaned_data!K242+6379.19*dummy_variables!F242+18875.59*dummy_variables!G242+19293.73*dummy_variables!H242+41615.6*dummy_variables!I242+18404.23*dummy_variables!J242+29423.23*dummy_variables!K242</f>
        <v>762702.08018199983</v>
      </c>
      <c r="F245">
        <f t="shared" si="3"/>
        <v>14290.849818000221</v>
      </c>
    </row>
    <row r="246" spans="1:6">
      <c r="A246" s="8" t="s">
        <v>83</v>
      </c>
      <c r="B246" t="s">
        <v>15</v>
      </c>
      <c r="C246" t="s">
        <v>18</v>
      </c>
      <c r="D246">
        <v>679230.86</v>
      </c>
      <c r="E246">
        <f>48902.8015+1.1916*cleaned_data!E248+33.6481*cleaned_data!F248-47714.01*cleaned_data!G248+3060.02*cleaned_data!I248+12599.55*cleaned_data!L248+13910.89*cleaned_data!K248+6379.19*dummy_variables!F248+18875.59*dummy_variables!G248+19293.73*dummy_variables!H248+41615.6*dummy_variables!I248+18404.23*dummy_variables!J248+29423.23*dummy_variables!K248</f>
        <v>693762.59146400006</v>
      </c>
      <c r="F246">
        <f t="shared" si="3"/>
        <v>-14531.73146400007</v>
      </c>
    </row>
    <row r="247" spans="1:6">
      <c r="A247" s="8" t="s">
        <v>83</v>
      </c>
      <c r="B247" t="s">
        <v>15</v>
      </c>
      <c r="C247" t="s">
        <v>18</v>
      </c>
      <c r="D247">
        <v>679888.74</v>
      </c>
      <c r="E247">
        <f>48902.8015+1.1916*cleaned_data!E249+33.6481*cleaned_data!F249-47714.01*cleaned_data!G249+3060.02*cleaned_data!I249+12599.55*cleaned_data!L249+13910.89*cleaned_data!K249+6379.19*dummy_variables!F249+18875.59*dummy_variables!G249+19293.73*dummy_variables!H249+41615.6*dummy_variables!I249+18404.23*dummy_variables!J249+29423.23*dummy_variables!K249</f>
        <v>673531.71021800011</v>
      </c>
      <c r="F247">
        <f t="shared" si="3"/>
        <v>6357.0297819998814</v>
      </c>
    </row>
    <row r="248" spans="1:6">
      <c r="A248" s="8" t="s">
        <v>83</v>
      </c>
      <c r="B248" t="s">
        <v>15</v>
      </c>
      <c r="C248" t="s">
        <v>18</v>
      </c>
      <c r="D248">
        <v>750471.34</v>
      </c>
      <c r="E248">
        <f>48902.8015+1.1916*cleaned_data!E247+33.6481*cleaned_data!F247-47714.01*cleaned_data!G247+3060.02*cleaned_data!I247+12599.55*cleaned_data!L247+13910.89*cleaned_data!K247+6379.19*dummy_variables!F247+18875.59*dummy_variables!G247+19293.73*dummy_variables!H247+41615.6*dummy_variables!I247+18404.23*dummy_variables!J247+29423.23*dummy_variables!K247</f>
        <v>736359.38224800001</v>
      </c>
      <c r="F248">
        <f t="shared" si="3"/>
        <v>14111.957751999958</v>
      </c>
    </row>
    <row r="249" spans="1:6">
      <c r="A249" s="8" t="s">
        <v>83</v>
      </c>
      <c r="B249" t="s">
        <v>15</v>
      </c>
      <c r="C249" t="s">
        <v>18</v>
      </c>
      <c r="D249">
        <v>802001.68</v>
      </c>
      <c r="E249">
        <f>48902.8015+1.1916*cleaned_data!E246+33.6481*cleaned_data!F246-47714.01*cleaned_data!G246+3060.02*cleaned_data!I246+12599.55*cleaned_data!L246+13910.89*cleaned_data!K246+6379.19*dummy_variables!F246+18875.59*dummy_variables!G246+19293.73*dummy_variables!H246+41615.6*dummy_variables!I246+18404.23*dummy_variables!J246+29423.23*dummy_variables!K246</f>
        <v>774375.88558</v>
      </c>
      <c r="F249">
        <f t="shared" si="3"/>
        <v>27625.794420000049</v>
      </c>
    </row>
    <row r="250" spans="1:6">
      <c r="A250" s="8" t="s">
        <v>84</v>
      </c>
      <c r="B250" t="s">
        <v>20</v>
      </c>
      <c r="C250" t="s">
        <v>18</v>
      </c>
      <c r="D250">
        <v>642751.42000000004</v>
      </c>
      <c r="E250">
        <f>48902.8015+1.1916*cleaned_data!E251+33.6481*cleaned_data!F251-47714.01*cleaned_data!G251+3060.02*cleaned_data!I251+12599.55*cleaned_data!L251+13910.89*cleaned_data!K251+6379.19*dummy_variables!F251+18875.59*dummy_variables!G251+19293.73*dummy_variables!H251+41615.6*dummy_variables!I251+18404.23*dummy_variables!J251+29423.23*dummy_variables!K251</f>
        <v>649001.39631999994</v>
      </c>
      <c r="F250">
        <f t="shared" si="3"/>
        <v>-6249.9763199998997</v>
      </c>
    </row>
    <row r="251" spans="1:6">
      <c r="A251" s="8" t="s">
        <v>84</v>
      </c>
      <c r="B251" t="s">
        <v>20</v>
      </c>
      <c r="C251" t="s">
        <v>18</v>
      </c>
      <c r="D251">
        <v>647953.78</v>
      </c>
      <c r="E251">
        <f>48902.8015+1.1916*cleaned_data!E252+33.6481*cleaned_data!F252-47714.01*cleaned_data!G252+3060.02*cleaned_data!I252+12599.55*cleaned_data!L252+13910.89*cleaned_data!K252+6379.19*dummy_variables!F252+18875.59*dummy_variables!G252+19293.73*dummy_variables!H252+41615.6*dummy_variables!I252+18404.23*dummy_variables!J252+29423.23*dummy_variables!K252</f>
        <v>639999.62875799998</v>
      </c>
      <c r="F251">
        <f t="shared" si="3"/>
        <v>7954.1512420000508</v>
      </c>
    </row>
    <row r="252" spans="1:6">
      <c r="A252" s="8" t="s">
        <v>84</v>
      </c>
      <c r="B252" t="s">
        <v>20</v>
      </c>
      <c r="C252" t="s">
        <v>18</v>
      </c>
      <c r="D252">
        <v>606783.67000000004</v>
      </c>
      <c r="E252">
        <f>48902.8015+1.1916*cleaned_data!E250+33.6481*cleaned_data!F250-47714.01*cleaned_data!G250+3060.02*cleaned_data!I250+12599.55*cleaned_data!L250+13910.89*cleaned_data!K250+6379.19*dummy_variables!F250+18875.59*dummy_variables!G250+19293.73*dummy_variables!H250+41615.6*dummy_variables!I250+18404.23*dummy_variables!J250+29423.23*dummy_variables!K250</f>
        <v>587626.36467199994</v>
      </c>
      <c r="F252">
        <f t="shared" si="3"/>
        <v>19157.305328000104</v>
      </c>
    </row>
    <row r="253" spans="1:6">
      <c r="A253" s="8" t="s">
        <v>84</v>
      </c>
      <c r="B253" t="s">
        <v>20</v>
      </c>
      <c r="C253" t="s">
        <v>18</v>
      </c>
      <c r="D253">
        <v>729440.45</v>
      </c>
      <c r="E253">
        <f>48902.8015+1.1916*cleaned_data!E253+33.6481*cleaned_data!F253-47714.01*cleaned_data!G253+3060.02*cleaned_data!I253+12599.55*cleaned_data!L253+13910.89*cleaned_data!K253+6379.19*dummy_variables!F253+18875.59*dummy_variables!G253+19293.73*dummy_variables!H253+41615.6*dummy_variables!I253+18404.23*dummy_variables!J253+29423.23*dummy_variables!K253</f>
        <v>708598.17873399984</v>
      </c>
      <c r="F253">
        <f t="shared" si="3"/>
        <v>20842.271266000113</v>
      </c>
    </row>
    <row r="254" spans="1:6">
      <c r="A254" s="8" t="s">
        <v>85</v>
      </c>
      <c r="B254" t="s">
        <v>24</v>
      </c>
      <c r="C254" t="s">
        <v>21</v>
      </c>
      <c r="D254">
        <v>612390.14</v>
      </c>
      <c r="E254">
        <f>48902.8015+1.1916*cleaned_data!E257+33.6481*cleaned_data!F257-47714.01*cleaned_data!G257+3060.02*cleaned_data!I257+12599.55*cleaned_data!L257+13910.89*cleaned_data!K257+6379.19*dummy_variables!F257+18875.59*dummy_variables!G257+19293.73*dummy_variables!H257+41615.6*dummy_variables!I257+18404.23*dummy_variables!J257+29423.23*dummy_variables!K257</f>
        <v>669216.72652799997</v>
      </c>
      <c r="F254">
        <f t="shared" si="3"/>
        <v>-56826.586527999956</v>
      </c>
    </row>
    <row r="255" spans="1:6">
      <c r="A255" s="8" t="s">
        <v>85</v>
      </c>
      <c r="B255" t="s">
        <v>24</v>
      </c>
      <c r="C255" t="s">
        <v>21</v>
      </c>
      <c r="D255">
        <v>764949</v>
      </c>
      <c r="E255">
        <f>48902.8015+1.1916*cleaned_data!E254+33.6481*cleaned_data!F254-47714.01*cleaned_data!G254+3060.02*cleaned_data!I254+12599.55*cleaned_data!L254+13910.89*cleaned_data!K254+6379.19*dummy_variables!F254+18875.59*dummy_variables!G254+19293.73*dummy_variables!H254+41615.6*dummy_variables!I254+18404.23*dummy_variables!J254+29423.23*dummy_variables!K254</f>
        <v>782245.04507999984</v>
      </c>
      <c r="F255">
        <f t="shared" si="3"/>
        <v>-17296.045079999836</v>
      </c>
    </row>
    <row r="256" spans="1:6">
      <c r="A256" s="8" t="s">
        <v>85</v>
      </c>
      <c r="B256" t="s">
        <v>24</v>
      </c>
      <c r="C256" t="s">
        <v>21</v>
      </c>
      <c r="D256">
        <v>720079.54</v>
      </c>
      <c r="E256">
        <f>48902.8015+1.1916*cleaned_data!E256+33.6481*cleaned_data!F256-47714.01*cleaned_data!G256+3060.02*cleaned_data!I256+12599.55*cleaned_data!L256+13910.89*cleaned_data!K256+6379.19*dummy_variables!F256+18875.59*dummy_variables!G256+19293.73*dummy_variables!H256+41615.6*dummy_variables!I256+18404.23*dummy_variables!J256+29423.23*dummy_variables!K256</f>
        <v>700583.75599400001</v>
      </c>
      <c r="F256">
        <f t="shared" si="3"/>
        <v>19495.784006000031</v>
      </c>
    </row>
    <row r="257" spans="1:6">
      <c r="A257" s="8" t="s">
        <v>85</v>
      </c>
      <c r="B257" t="s">
        <v>24</v>
      </c>
      <c r="C257" t="s">
        <v>21</v>
      </c>
      <c r="D257">
        <v>799046.94</v>
      </c>
      <c r="E257">
        <f>48902.8015+1.1916*cleaned_data!E255+33.6481*cleaned_data!F255-47714.01*cleaned_data!G255+3060.02*cleaned_data!I255+12599.55*cleaned_data!L255+13910.89*cleaned_data!K255+6379.19*dummy_variables!F255+18875.59*dummy_variables!G255+19293.73*dummy_variables!H255+41615.6*dummy_variables!I255+18404.23*dummy_variables!J255+29423.23*dummy_variables!K255</f>
        <v>726509.32063600002</v>
      </c>
      <c r="F257">
        <f t="shared" si="3"/>
        <v>72537.619363999926</v>
      </c>
    </row>
    <row r="258" spans="1:6">
      <c r="A258" s="8" t="s">
        <v>86</v>
      </c>
      <c r="B258" t="s">
        <v>24</v>
      </c>
      <c r="C258" t="s">
        <v>28</v>
      </c>
      <c r="D258">
        <v>746115.59</v>
      </c>
      <c r="E258">
        <f>48902.8015+1.1916*cleaned_data!E260+33.6481*cleaned_data!F260-47714.01*cleaned_data!G260+3060.02*cleaned_data!I260+12599.55*cleaned_data!L260+13910.89*cleaned_data!K260+6379.19*dummy_variables!F260+18875.59*dummy_variables!G260+19293.73*dummy_variables!H260+41615.6*dummy_variables!I260+18404.23*dummy_variables!J260+29423.23*dummy_variables!K260</f>
        <v>756742.00101399992</v>
      </c>
      <c r="F258">
        <f t="shared" ref="F258:F321" si="4">D258-E258</f>
        <v>-10626.411013999954</v>
      </c>
    </row>
    <row r="259" spans="1:6">
      <c r="A259" s="8" t="s">
        <v>86</v>
      </c>
      <c r="B259" t="s">
        <v>24</v>
      </c>
      <c r="C259" t="s">
        <v>28</v>
      </c>
      <c r="D259">
        <v>697888.09</v>
      </c>
      <c r="E259">
        <f>48902.8015+1.1916*cleaned_data!E259+33.6481*cleaned_data!F259-47714.01*cleaned_data!G259+3060.02*cleaned_data!I259+12599.55*cleaned_data!L259+13910.89*cleaned_data!K259+6379.19*dummy_variables!F259+18875.59*dummy_variables!G259+19293.73*dummy_variables!H259+41615.6*dummy_variables!I259+18404.23*dummy_variables!J259+29423.23*dummy_variables!K259</f>
        <v>691798.20214799989</v>
      </c>
      <c r="F259">
        <f t="shared" si="4"/>
        <v>6089.8878520000726</v>
      </c>
    </row>
    <row r="260" spans="1:6">
      <c r="A260" s="8" t="s">
        <v>86</v>
      </c>
      <c r="B260" t="s">
        <v>24</v>
      </c>
      <c r="C260" t="s">
        <v>28</v>
      </c>
      <c r="D260">
        <v>776110.32</v>
      </c>
      <c r="E260">
        <f>48902.8015+1.1916*cleaned_data!E261+33.6481*cleaned_data!F261-47714.01*cleaned_data!G261+3060.02*cleaned_data!I261+12599.55*cleaned_data!L261+13910.89*cleaned_data!K261+6379.19*dummy_variables!F261+18875.59*dummy_variables!G261+19293.73*dummy_variables!H261+41615.6*dummy_variables!I261+18404.23*dummy_variables!J261+29423.23*dummy_variables!K261</f>
        <v>733781.20134199993</v>
      </c>
      <c r="F260">
        <f t="shared" si="4"/>
        <v>42329.118658000021</v>
      </c>
    </row>
    <row r="261" spans="1:6">
      <c r="A261" s="8" t="s">
        <v>86</v>
      </c>
      <c r="B261" t="s">
        <v>24</v>
      </c>
      <c r="C261" t="s">
        <v>28</v>
      </c>
      <c r="D261">
        <v>840108.12</v>
      </c>
      <c r="E261">
        <f>48902.8015+1.1916*cleaned_data!E258+33.6481*cleaned_data!F258-47714.01*cleaned_data!G258+3060.02*cleaned_data!I258+12599.55*cleaned_data!L258+13910.89*cleaned_data!K258+6379.19*dummy_variables!F258+18875.59*dummy_variables!G258+19293.73*dummy_variables!H258+41615.6*dummy_variables!I258+18404.23*dummy_variables!J258+29423.23*dummy_variables!K258</f>
        <v>784042.4608179999</v>
      </c>
      <c r="F261">
        <f t="shared" si="4"/>
        <v>56065.65918200009</v>
      </c>
    </row>
    <row r="262" spans="1:6">
      <c r="A262" s="8" t="s">
        <v>87</v>
      </c>
      <c r="B262" t="s">
        <v>27</v>
      </c>
      <c r="C262" t="s">
        <v>18</v>
      </c>
      <c r="D262">
        <v>605751.32999999996</v>
      </c>
      <c r="E262">
        <f>48902.8015+1.1916*cleaned_data!E263+33.6481*cleaned_data!F263-47714.01*cleaned_data!G263+3060.02*cleaned_data!I263+12599.55*cleaned_data!L263+13910.89*cleaned_data!K263+6379.19*dummy_variables!F263+18875.59*dummy_variables!G263+19293.73*dummy_variables!H263+41615.6*dummy_variables!I263+18404.23*dummy_variables!J263+29423.23*dummy_variables!K263</f>
        <v>611116.03122999996</v>
      </c>
      <c r="F262">
        <f t="shared" si="4"/>
        <v>-5364.701230000006</v>
      </c>
    </row>
    <row r="263" spans="1:6">
      <c r="A263" s="8" t="s">
        <v>87</v>
      </c>
      <c r="B263" t="s">
        <v>27</v>
      </c>
      <c r="C263" t="s">
        <v>18</v>
      </c>
      <c r="D263">
        <v>528852.62</v>
      </c>
      <c r="E263">
        <f>48902.8015+1.1916*cleaned_data!E262+33.6481*cleaned_data!F262-47714.01*cleaned_data!G262+3060.02*cleaned_data!I262+12599.55*cleaned_data!L262+13910.89*cleaned_data!K262+6379.19*dummy_variables!F262+18875.59*dummy_variables!G262+19293.73*dummy_variables!H262+41615.6*dummy_variables!I262+18404.23*dummy_variables!J262+29423.23*dummy_variables!K262</f>
        <v>529224.32814200001</v>
      </c>
      <c r="F263">
        <f t="shared" si="4"/>
        <v>-371.70814200001769</v>
      </c>
    </row>
    <row r="264" spans="1:6">
      <c r="A264" s="8" t="s">
        <v>87</v>
      </c>
      <c r="B264" t="s">
        <v>27</v>
      </c>
      <c r="C264" t="s">
        <v>18</v>
      </c>
      <c r="D264">
        <v>636613.23</v>
      </c>
      <c r="E264">
        <f>48902.8015+1.1916*cleaned_data!E265+33.6481*cleaned_data!F265-47714.01*cleaned_data!G265+3060.02*cleaned_data!I265+12599.55*cleaned_data!L265+13910.89*cleaned_data!K265+6379.19*dummy_variables!F265+18875.59*dummy_variables!G265+19293.73*dummy_variables!H265+41615.6*dummy_variables!I265+18404.23*dummy_variables!J265+29423.23*dummy_variables!K265</f>
        <v>615160.62114599999</v>
      </c>
      <c r="F264">
        <f t="shared" si="4"/>
        <v>21452.608853999991</v>
      </c>
    </row>
    <row r="265" spans="1:6">
      <c r="A265" s="8" t="s">
        <v>87</v>
      </c>
      <c r="B265" t="s">
        <v>27</v>
      </c>
      <c r="C265" t="s">
        <v>18</v>
      </c>
      <c r="D265">
        <v>677640.65</v>
      </c>
      <c r="E265">
        <f>48902.8015+1.1916*cleaned_data!E264+33.6481*cleaned_data!F264-47714.01*cleaned_data!G264+3060.02*cleaned_data!I264+12599.55*cleaned_data!L264+13910.89*cleaned_data!K264+6379.19*dummy_variables!F264+18875.59*dummy_variables!G264+19293.73*dummy_variables!H264+41615.6*dummy_variables!I264+18404.23*dummy_variables!J264+29423.23*dummy_variables!K264</f>
        <v>631701.4922199999</v>
      </c>
      <c r="F265">
        <f t="shared" si="4"/>
        <v>45939.157780000125</v>
      </c>
    </row>
    <row r="266" spans="1:6">
      <c r="A266" s="8" t="s">
        <v>88</v>
      </c>
      <c r="B266" t="s">
        <v>15</v>
      </c>
      <c r="C266" t="s">
        <v>18</v>
      </c>
      <c r="D266">
        <v>708985.19</v>
      </c>
      <c r="E266">
        <f>48902.8015+1.1916*cleaned_data!E266+33.6481*cleaned_data!F266-47714.01*cleaned_data!G266+3060.02*cleaned_data!I266+12599.55*cleaned_data!L266+13910.89*cleaned_data!K266+6379.19*dummy_variables!F266+18875.59*dummy_variables!G266+19293.73*dummy_variables!H266+41615.6*dummy_variables!I266+18404.23*dummy_variables!J266+29423.23*dummy_variables!K266</f>
        <v>716791.78391600004</v>
      </c>
      <c r="F266">
        <f t="shared" si="4"/>
        <v>-7806.5939160000999</v>
      </c>
    </row>
    <row r="267" spans="1:6">
      <c r="A267" s="8" t="s">
        <v>88</v>
      </c>
      <c r="B267" t="s">
        <v>15</v>
      </c>
      <c r="C267" t="s">
        <v>18</v>
      </c>
      <c r="D267">
        <v>745580.51</v>
      </c>
      <c r="E267">
        <f>48902.8015+1.1916*cleaned_data!E268+33.6481*cleaned_data!F268-47714.01*cleaned_data!G268+3060.02*cleaned_data!I268+12599.55*cleaned_data!L268+13910.89*cleaned_data!K268+6379.19*dummy_variables!F268+18875.59*dummy_variables!G268+19293.73*dummy_variables!H268+41615.6*dummy_variables!I268+18404.23*dummy_variables!J268+29423.23*dummy_variables!K268</f>
        <v>711602.86762399995</v>
      </c>
      <c r="F267">
        <f t="shared" si="4"/>
        <v>33977.642376000062</v>
      </c>
    </row>
    <row r="268" spans="1:6">
      <c r="A268" s="8" t="s">
        <v>88</v>
      </c>
      <c r="B268" t="s">
        <v>15</v>
      </c>
      <c r="C268" t="s">
        <v>18</v>
      </c>
      <c r="D268">
        <v>767792.94</v>
      </c>
      <c r="E268">
        <f>48902.8015+1.1916*cleaned_data!E267+33.6481*cleaned_data!F267-47714.01*cleaned_data!G267+3060.02*cleaned_data!I267+12599.55*cleaned_data!L267+13910.89*cleaned_data!K267+6379.19*dummy_variables!F267+18875.59*dummy_variables!G267+19293.73*dummy_variables!H267+41615.6*dummy_variables!I267+18404.23*dummy_variables!J267+29423.23*dummy_variables!K267</f>
        <v>725625.24915399996</v>
      </c>
      <c r="F268">
        <f t="shared" si="4"/>
        <v>42167.690845999983</v>
      </c>
    </row>
    <row r="269" spans="1:6">
      <c r="A269" s="8" t="s">
        <v>88</v>
      </c>
      <c r="B269" t="s">
        <v>15</v>
      </c>
      <c r="C269" t="s">
        <v>18</v>
      </c>
      <c r="D269">
        <v>762328.31</v>
      </c>
      <c r="E269">
        <f>48902.8015+1.1916*cleaned_data!E269+33.6481*cleaned_data!F269-47714.01*cleaned_data!G269+3060.02*cleaned_data!I269+12599.55*cleaned_data!L269+13910.89*cleaned_data!K269+6379.19*dummy_variables!F269+18875.59*dummy_variables!G269+19293.73*dummy_variables!H269+41615.6*dummy_variables!I269+18404.23*dummy_variables!J269+29423.23*dummy_variables!K269</f>
        <v>718750.87500400003</v>
      </c>
      <c r="F269">
        <f t="shared" si="4"/>
        <v>43577.434996000025</v>
      </c>
    </row>
    <row r="270" spans="1:6">
      <c r="A270" s="8" t="s">
        <v>89</v>
      </c>
      <c r="B270" t="s">
        <v>15</v>
      </c>
      <c r="C270" t="s">
        <v>28</v>
      </c>
      <c r="D270">
        <v>660633.99</v>
      </c>
      <c r="E270">
        <f>48902.8015+1.1916*cleaned_data!E270+33.6481*cleaned_data!F270-47714.01*cleaned_data!G270+3060.02*cleaned_data!I270+12599.55*cleaned_data!L270+13910.89*cleaned_data!K270+6379.19*dummy_variables!F270+18875.59*dummy_variables!G270+19293.73*dummy_variables!H270+41615.6*dummy_variables!I270+18404.23*dummy_variables!J270+29423.23*dummy_variables!K270</f>
        <v>738051.10511200002</v>
      </c>
      <c r="F270">
        <f t="shared" si="4"/>
        <v>-77417.115112000029</v>
      </c>
    </row>
    <row r="271" spans="1:6">
      <c r="A271" s="8" t="s">
        <v>89</v>
      </c>
      <c r="B271" t="s">
        <v>15</v>
      </c>
      <c r="C271" t="s">
        <v>28</v>
      </c>
      <c r="D271">
        <v>593343</v>
      </c>
      <c r="E271">
        <f>48902.8015+1.1916*cleaned_data!E273+33.6481*cleaned_data!F273-47714.01*cleaned_data!G273+3060.02*cleaned_data!I273+12599.55*cleaned_data!L273+13910.89*cleaned_data!K273+6379.19*dummy_variables!F273+18875.59*dummy_variables!G273+19293.73*dummy_variables!H273+41615.6*dummy_variables!I273+18404.23*dummy_variables!J273+29423.23*dummy_variables!K273</f>
        <v>662633.23157799989</v>
      </c>
      <c r="F271">
        <f t="shared" si="4"/>
        <v>-69290.23157799989</v>
      </c>
    </row>
    <row r="272" spans="1:6">
      <c r="A272" s="8" t="s">
        <v>89</v>
      </c>
      <c r="B272" t="s">
        <v>15</v>
      </c>
      <c r="C272" t="s">
        <v>28</v>
      </c>
      <c r="D272">
        <v>799756.46</v>
      </c>
      <c r="E272">
        <f>48902.8015+1.1916*cleaned_data!E272+33.6481*cleaned_data!F272-47714.01*cleaned_data!G272+3060.02*cleaned_data!I272+12599.55*cleaned_data!L272+13910.89*cleaned_data!K272+6379.19*dummy_variables!F272+18875.59*dummy_variables!G272+19293.73*dummy_variables!H272+41615.6*dummy_variables!I272+18404.23*dummy_variables!J272+29423.23*dummy_variables!K272</f>
        <v>815540.62420000008</v>
      </c>
      <c r="F272">
        <f t="shared" si="4"/>
        <v>-15784.164200000116</v>
      </c>
    </row>
    <row r="273" spans="1:6">
      <c r="A273" s="8" t="s">
        <v>89</v>
      </c>
      <c r="B273" t="s">
        <v>15</v>
      </c>
      <c r="C273" t="s">
        <v>28</v>
      </c>
      <c r="D273">
        <v>739374.56</v>
      </c>
      <c r="E273">
        <f>48902.8015+1.1916*cleaned_data!E271+33.6481*cleaned_data!F271-47714.01*cleaned_data!G271+3060.02*cleaned_data!I271+12599.55*cleaned_data!L271+13910.89*cleaned_data!K271+6379.19*dummy_variables!F271+18875.59*dummy_variables!G271+19293.73*dummy_variables!H271+41615.6*dummy_variables!I271+18404.23*dummy_variables!J271+29423.23*dummy_variables!K271</f>
        <v>686421.53316200001</v>
      </c>
      <c r="F273">
        <f t="shared" si="4"/>
        <v>52953.026838000049</v>
      </c>
    </row>
    <row r="274" spans="1:6">
      <c r="A274" s="8" t="s">
        <v>90</v>
      </c>
      <c r="B274" t="s">
        <v>27</v>
      </c>
      <c r="C274" t="s">
        <v>18</v>
      </c>
      <c r="D274">
        <v>635837.74</v>
      </c>
      <c r="E274">
        <f>48902.8015+1.1916*cleaned_data!E276+33.6481*cleaned_data!F276-47714.01*cleaned_data!G276+3060.02*cleaned_data!I276+12599.55*cleaned_data!L276+13910.89*cleaned_data!K276+6379.19*dummy_variables!F276+18875.59*dummy_variables!G276+19293.73*dummy_variables!H276+41615.6*dummy_variables!I276+18404.23*dummy_variables!J276+29423.23*dummy_variables!K276</f>
        <v>644548.28262599988</v>
      </c>
      <c r="F274">
        <f t="shared" si="4"/>
        <v>-8710.5426259998931</v>
      </c>
    </row>
    <row r="275" spans="1:6">
      <c r="A275" s="8" t="s">
        <v>90</v>
      </c>
      <c r="B275" t="s">
        <v>27</v>
      </c>
      <c r="C275" t="s">
        <v>18</v>
      </c>
      <c r="D275">
        <v>645039.97</v>
      </c>
      <c r="E275">
        <f>48902.8015+1.1916*cleaned_data!E274+33.6481*cleaned_data!F274-47714.01*cleaned_data!G274+3060.02*cleaned_data!I274+12599.55*cleaned_data!L274+13910.89*cleaned_data!K274+6379.19*dummy_variables!F274+18875.59*dummy_variables!G274+19293.73*dummy_variables!H274+41615.6*dummy_variables!I274+18404.23*dummy_variables!J274+29423.23*dummy_variables!K274</f>
        <v>639274.03465199994</v>
      </c>
      <c r="F275">
        <f t="shared" si="4"/>
        <v>5765.9353480000282</v>
      </c>
    </row>
    <row r="276" spans="1:6">
      <c r="A276" s="8" t="s">
        <v>90</v>
      </c>
      <c r="B276" t="s">
        <v>27</v>
      </c>
      <c r="C276" t="s">
        <v>18</v>
      </c>
      <c r="D276">
        <v>561597.32999999996</v>
      </c>
      <c r="E276">
        <f>48902.8015+1.1916*cleaned_data!E275+33.6481*cleaned_data!F275-47714.01*cleaned_data!G275+3060.02*cleaned_data!I275+12599.55*cleaned_data!L275+13910.89*cleaned_data!K275+6379.19*dummy_variables!F275+18875.59*dummy_variables!G275+19293.73*dummy_variables!H275+41615.6*dummy_variables!I275+18404.23*dummy_variables!J275+29423.23*dummy_variables!K275</f>
        <v>520788.02398199996</v>
      </c>
      <c r="F276">
        <f t="shared" si="4"/>
        <v>40809.306018000003</v>
      </c>
    </row>
    <row r="277" spans="1:6">
      <c r="A277" s="8" t="s">
        <v>90</v>
      </c>
      <c r="B277" t="s">
        <v>27</v>
      </c>
      <c r="C277" t="s">
        <v>18</v>
      </c>
      <c r="D277">
        <v>686737.87</v>
      </c>
      <c r="E277">
        <f>48902.8015+1.1916*cleaned_data!E277+33.6481*cleaned_data!F277-47714.01*cleaned_data!G277+3060.02*cleaned_data!I277+12599.55*cleaned_data!L277+13910.89*cleaned_data!K277+6379.19*dummy_variables!F277+18875.59*dummy_variables!G277+19293.73*dummy_variables!H277+41615.6*dummy_variables!I277+18404.23*dummy_variables!J277+29423.23*dummy_variables!K277</f>
        <v>593995.25265799998</v>
      </c>
      <c r="F277">
        <f t="shared" si="4"/>
        <v>92742.617342000012</v>
      </c>
    </row>
    <row r="278" spans="1:6">
      <c r="A278" s="8" t="s">
        <v>91</v>
      </c>
      <c r="B278" t="s">
        <v>24</v>
      </c>
      <c r="C278" t="s">
        <v>16</v>
      </c>
      <c r="D278">
        <v>673076.34</v>
      </c>
      <c r="E278">
        <f>48902.8015+1.1916*cleaned_data!E278+33.6481*cleaned_data!F278-47714.01*cleaned_data!G278+3060.02*cleaned_data!I278+12599.55*cleaned_data!L278+13910.89*cleaned_data!K278+6379.19*dummy_variables!F278+18875.59*dummy_variables!G278+19293.73*dummy_variables!H278+41615.6*dummy_variables!I278+18404.23*dummy_variables!J278+29423.23*dummy_variables!K278</f>
        <v>747554.95207599993</v>
      </c>
      <c r="F278">
        <f t="shared" si="4"/>
        <v>-74478.612075999961</v>
      </c>
    </row>
    <row r="279" spans="1:6">
      <c r="A279" s="8" t="s">
        <v>91</v>
      </c>
      <c r="B279" t="s">
        <v>24</v>
      </c>
      <c r="C279" t="s">
        <v>16</v>
      </c>
      <c r="D279">
        <v>761122.42</v>
      </c>
      <c r="E279">
        <f>48902.8015+1.1916*cleaned_data!E281+33.6481*cleaned_data!F281-47714.01*cleaned_data!G281+3060.02*cleaned_data!I281+12599.55*cleaned_data!L281+13910.89*cleaned_data!K281+6379.19*dummy_variables!F281+18875.59*dummy_variables!G281+19293.73*dummy_variables!H281+41615.6*dummy_variables!I281+18404.23*dummy_variables!J281+29423.23*dummy_variables!K281</f>
        <v>770678.63925599994</v>
      </c>
      <c r="F279">
        <f t="shared" si="4"/>
        <v>-9556.2192559998948</v>
      </c>
    </row>
    <row r="280" spans="1:6">
      <c r="A280" s="8" t="s">
        <v>91</v>
      </c>
      <c r="B280" t="s">
        <v>24</v>
      </c>
      <c r="C280" t="s">
        <v>16</v>
      </c>
      <c r="D280">
        <v>756619.77</v>
      </c>
      <c r="E280">
        <f>48902.8015+1.1916*cleaned_data!E280+33.6481*cleaned_data!F280-47714.01*cleaned_data!G280+3060.02*cleaned_data!I280+12599.55*cleaned_data!L280+13910.89*cleaned_data!K280+6379.19*dummy_variables!F280+18875.59*dummy_variables!G280+19293.73*dummy_variables!H280+41615.6*dummy_variables!I280+18404.23*dummy_variables!J280+29423.23*dummy_variables!K280</f>
        <v>743103.13972599991</v>
      </c>
      <c r="F280">
        <f t="shared" si="4"/>
        <v>13516.630274000112</v>
      </c>
    </row>
    <row r="281" spans="1:6">
      <c r="A281" s="8" t="s">
        <v>91</v>
      </c>
      <c r="B281" t="s">
        <v>24</v>
      </c>
      <c r="C281" t="s">
        <v>16</v>
      </c>
      <c r="D281">
        <v>738548.42</v>
      </c>
      <c r="E281">
        <f>48902.8015+1.1916*cleaned_data!E279+33.6481*cleaned_data!F279-47714.01*cleaned_data!G279+3060.02*cleaned_data!I279+12599.55*cleaned_data!L279+13910.89*cleaned_data!K279+6379.19*dummy_variables!F279+18875.59*dummy_variables!G279+19293.73*dummy_variables!H279+41615.6*dummy_variables!I279+18404.23*dummy_variables!J279+29423.23*dummy_variables!K279</f>
        <v>702708.21802799997</v>
      </c>
      <c r="F281">
        <f t="shared" si="4"/>
        <v>35840.201972000068</v>
      </c>
    </row>
    <row r="282" spans="1:6">
      <c r="A282" s="8" t="s">
        <v>92</v>
      </c>
      <c r="B282" t="s">
        <v>24</v>
      </c>
      <c r="C282" t="s">
        <v>18</v>
      </c>
      <c r="D282">
        <v>524899.56999999995</v>
      </c>
      <c r="E282">
        <f>48902.8015+1.1916*cleaned_data!E282+33.6481*cleaned_data!F282-47714.01*cleaned_data!G282+3060.02*cleaned_data!I282+12599.55*cleaned_data!L282+13910.89*cleaned_data!K282+6379.19*dummy_variables!F282+18875.59*dummy_variables!G282+19293.73*dummy_variables!H282+41615.6*dummy_variables!I282+18404.23*dummy_variables!J282+29423.23*dummy_variables!K282</f>
        <v>588736.42173399997</v>
      </c>
      <c r="F282">
        <f t="shared" si="4"/>
        <v>-63836.851734000025</v>
      </c>
    </row>
    <row r="283" spans="1:6">
      <c r="A283" s="8" t="s">
        <v>92</v>
      </c>
      <c r="B283" t="s">
        <v>24</v>
      </c>
      <c r="C283" t="s">
        <v>18</v>
      </c>
      <c r="D283">
        <v>555557.77</v>
      </c>
      <c r="E283">
        <f>48902.8015+1.1916*cleaned_data!E283+33.6481*cleaned_data!F283-47714.01*cleaned_data!G283+3060.02*cleaned_data!I283+12599.55*cleaned_data!L283+13910.89*cleaned_data!K283+6379.19*dummy_variables!F283+18875.59*dummy_variables!G283+19293.73*dummy_variables!H283+41615.6*dummy_variables!I283+18404.23*dummy_variables!J283+29423.23*dummy_variables!K283</f>
        <v>591094.07390599989</v>
      </c>
      <c r="F283">
        <f t="shared" si="4"/>
        <v>-35536.30390599987</v>
      </c>
    </row>
    <row r="284" spans="1:6">
      <c r="A284" s="8" t="s">
        <v>92</v>
      </c>
      <c r="B284" t="s">
        <v>24</v>
      </c>
      <c r="C284" t="s">
        <v>18</v>
      </c>
      <c r="D284">
        <v>497439.82</v>
      </c>
      <c r="E284">
        <f>48902.8015+1.1916*cleaned_data!E285+33.6481*cleaned_data!F285-47714.01*cleaned_data!G285+3060.02*cleaned_data!I285+12599.55*cleaned_data!L285+13910.89*cleaned_data!K285+6379.19*dummy_variables!F285+18875.59*dummy_variables!G285+19293.73*dummy_variables!H285+41615.6*dummy_variables!I285+18404.23*dummy_variables!J285+29423.23*dummy_variables!K285</f>
        <v>504850.85761599999</v>
      </c>
      <c r="F284">
        <f t="shared" si="4"/>
        <v>-7411.0376159999869</v>
      </c>
    </row>
    <row r="285" spans="1:6">
      <c r="A285" s="8" t="s">
        <v>92</v>
      </c>
      <c r="B285" t="s">
        <v>24</v>
      </c>
      <c r="C285" t="s">
        <v>18</v>
      </c>
      <c r="D285">
        <v>714083.68</v>
      </c>
      <c r="E285">
        <f>48902.8015+1.1916*cleaned_data!E284+33.6481*cleaned_data!F284-47714.01*cleaned_data!G284+3060.02*cleaned_data!I284+12599.55*cleaned_data!L284+13910.89*cleaned_data!K284+6379.19*dummy_variables!F284+18875.59*dummy_variables!G284+19293.73*dummy_variables!H284+41615.6*dummy_variables!I284+18404.23*dummy_variables!J284+29423.23*dummy_variables!K284</f>
        <v>698468.84410399979</v>
      </c>
      <c r="F285">
        <f t="shared" si="4"/>
        <v>15614.835896000266</v>
      </c>
    </row>
    <row r="286" spans="1:6">
      <c r="A286" s="8" t="s">
        <v>93</v>
      </c>
      <c r="B286" t="s">
        <v>27</v>
      </c>
      <c r="C286" t="s">
        <v>16</v>
      </c>
      <c r="D286">
        <v>636775.66</v>
      </c>
      <c r="E286">
        <f>48902.8015+1.1916*cleaned_data!E286+33.6481*cleaned_data!F286-47714.01*cleaned_data!G286+3060.02*cleaned_data!I286+12599.55*cleaned_data!L286+13910.89*cleaned_data!K286+6379.19*dummy_variables!F286+18875.59*dummy_variables!G286+19293.73*dummy_variables!H286+41615.6*dummy_variables!I286+18404.23*dummy_variables!J286+29423.23*dummy_variables!K286</f>
        <v>661320.56290599995</v>
      </c>
      <c r="F286">
        <f t="shared" si="4"/>
        <v>-24544.902905999916</v>
      </c>
    </row>
    <row r="287" spans="1:6">
      <c r="A287" s="8" t="s">
        <v>93</v>
      </c>
      <c r="B287" t="s">
        <v>27</v>
      </c>
      <c r="C287" t="s">
        <v>16</v>
      </c>
      <c r="D287">
        <v>548103.69999999995</v>
      </c>
      <c r="E287">
        <f>48902.8015+1.1916*cleaned_data!E289+33.6481*cleaned_data!F289-47714.01*cleaned_data!G289+3060.02*cleaned_data!I289+12599.55*cleaned_data!L289+13910.89*cleaned_data!K289+6379.19*dummy_variables!F289+18875.59*dummy_variables!G289+19293.73*dummy_variables!H289+41615.6*dummy_variables!I289+18404.23*dummy_variables!J289+29423.23*dummy_variables!K289</f>
        <v>559043.73016399995</v>
      </c>
      <c r="F287">
        <f t="shared" si="4"/>
        <v>-10940.030163999996</v>
      </c>
    </row>
    <row r="288" spans="1:6">
      <c r="A288" s="8" t="s">
        <v>93</v>
      </c>
      <c r="B288" t="s">
        <v>27</v>
      </c>
      <c r="C288" t="s">
        <v>16</v>
      </c>
      <c r="D288">
        <v>609949</v>
      </c>
      <c r="E288">
        <f>48902.8015+1.1916*cleaned_data!E288+33.6481*cleaned_data!F288-47714.01*cleaned_data!G288+3060.02*cleaned_data!I288+12599.55*cleaned_data!L288+13910.89*cleaned_data!K288+6379.19*dummy_variables!F288+18875.59*dummy_variables!G288+19293.73*dummy_variables!H288+41615.6*dummy_variables!I288+18404.23*dummy_variables!J288+29423.23*dummy_variables!K288</f>
        <v>613840.33932200004</v>
      </c>
      <c r="F288">
        <f t="shared" si="4"/>
        <v>-3891.3393220000435</v>
      </c>
    </row>
    <row r="289" spans="1:6">
      <c r="A289" s="8" t="s">
        <v>93</v>
      </c>
      <c r="B289" t="s">
        <v>27</v>
      </c>
      <c r="C289" t="s">
        <v>16</v>
      </c>
      <c r="D289">
        <v>633009.53</v>
      </c>
      <c r="E289">
        <f>48902.8015+1.1916*cleaned_data!E287+33.6481*cleaned_data!F287-47714.01*cleaned_data!G287+3060.02*cleaned_data!I287+12599.55*cleaned_data!L287+13910.89*cleaned_data!K287+6379.19*dummy_variables!F287+18875.59*dummy_variables!G287+19293.73*dummy_variables!H287+41615.6*dummy_variables!I287+18404.23*dummy_variables!J287+29423.23*dummy_variables!K287</f>
        <v>634640.21702400001</v>
      </c>
      <c r="F289">
        <f t="shared" si="4"/>
        <v>-1630.6870239999844</v>
      </c>
    </row>
    <row r="290" spans="1:6">
      <c r="A290" s="8" t="s">
        <v>94</v>
      </c>
      <c r="B290" t="s">
        <v>15</v>
      </c>
      <c r="C290" t="s">
        <v>16</v>
      </c>
      <c r="D290">
        <v>696261.49</v>
      </c>
      <c r="E290">
        <f>48902.8015+1.1916*cleaned_data!E291+33.6481*cleaned_data!F291-47714.01*cleaned_data!G291+3060.02*cleaned_data!I291+12599.55*cleaned_data!L291+13910.89*cleaned_data!K291+6379.19*dummy_variables!F291+18875.59*dummy_variables!G291+19293.73*dummy_variables!H291+41615.6*dummy_variables!I291+18404.23*dummy_variables!J291+29423.23*dummy_variables!K291</f>
        <v>702457.56827599998</v>
      </c>
      <c r="F290">
        <f t="shared" si="4"/>
        <v>-6196.0782759999856</v>
      </c>
    </row>
    <row r="291" spans="1:6">
      <c r="A291" s="8" t="s">
        <v>94</v>
      </c>
      <c r="B291" t="s">
        <v>15</v>
      </c>
      <c r="C291" t="s">
        <v>16</v>
      </c>
      <c r="D291">
        <v>702068.92</v>
      </c>
      <c r="E291">
        <f>48902.8015+1.1916*cleaned_data!E293+33.6481*cleaned_data!F293-47714.01*cleaned_data!G293+3060.02*cleaned_data!I293+12599.55*cleaned_data!L293+13910.89*cleaned_data!K293+6379.19*dummy_variables!F293+18875.59*dummy_variables!G293+19293.73*dummy_variables!H293+41615.6*dummy_variables!I293+18404.23*dummy_variables!J293+29423.23*dummy_variables!K293</f>
        <v>700155.20115600002</v>
      </c>
      <c r="F291">
        <f t="shared" si="4"/>
        <v>1913.7188440000173</v>
      </c>
    </row>
    <row r="292" spans="1:6">
      <c r="A292" s="8" t="s">
        <v>94</v>
      </c>
      <c r="B292" t="s">
        <v>15</v>
      </c>
      <c r="C292" t="s">
        <v>16</v>
      </c>
      <c r="D292">
        <v>729424.42</v>
      </c>
      <c r="E292">
        <f>48902.8015+1.1916*cleaned_data!E290+33.6481*cleaned_data!F290-47714.01*cleaned_data!G290+3060.02*cleaned_data!I290+12599.55*cleaned_data!L290+13910.89*cleaned_data!K290+6379.19*dummy_variables!F290+18875.59*dummy_variables!G290+19293.73*dummy_variables!H290+41615.6*dummy_variables!I290+18404.23*dummy_variables!J290+29423.23*dummy_variables!K290</f>
        <v>674467.93792599998</v>
      </c>
      <c r="F292">
        <f t="shared" si="4"/>
        <v>54956.482074000058</v>
      </c>
    </row>
    <row r="293" spans="1:6">
      <c r="A293" s="8" t="s">
        <v>94</v>
      </c>
      <c r="B293" t="s">
        <v>15</v>
      </c>
      <c r="C293" t="s">
        <v>16</v>
      </c>
      <c r="D293">
        <v>813316.71</v>
      </c>
      <c r="E293">
        <f>48902.8015+1.1916*cleaned_data!E292+33.6481*cleaned_data!F292-47714.01*cleaned_data!G292+3060.02*cleaned_data!I292+12599.55*cleaned_data!L292+13910.89*cleaned_data!K292+6379.19*dummy_variables!F292+18875.59*dummy_variables!G292+19293.73*dummy_variables!H292+41615.6*dummy_variables!I292+18404.23*dummy_variables!J292+29423.23*dummy_variables!K292</f>
        <v>716945.96886000002</v>
      </c>
      <c r="F293">
        <f t="shared" si="4"/>
        <v>96370.74113999994</v>
      </c>
    </row>
    <row r="294" spans="1:6">
      <c r="A294" s="8" t="s">
        <v>95</v>
      </c>
      <c r="B294" t="s">
        <v>27</v>
      </c>
      <c r="C294" t="s">
        <v>18</v>
      </c>
      <c r="D294">
        <v>546223.69999999995</v>
      </c>
      <c r="E294">
        <f>48902.8015+1.1916*cleaned_data!E294+33.6481*cleaned_data!F294-47714.01*cleaned_data!G294+3060.02*cleaned_data!I294+12599.55*cleaned_data!L294+13910.89*cleaned_data!K294+6379.19*dummy_variables!F294+18875.59*dummy_variables!G294+19293.73*dummy_variables!H294+41615.6*dummy_variables!I294+18404.23*dummy_variables!J294+29423.23*dummy_variables!K294</f>
        <v>594987.5558519999</v>
      </c>
      <c r="F294">
        <f t="shared" si="4"/>
        <v>-48763.85585199995</v>
      </c>
    </row>
    <row r="295" spans="1:6">
      <c r="A295" s="8" t="s">
        <v>95</v>
      </c>
      <c r="B295" t="s">
        <v>27</v>
      </c>
      <c r="C295" t="s">
        <v>18</v>
      </c>
      <c r="D295">
        <v>498970.32</v>
      </c>
      <c r="E295">
        <f>48902.8015+1.1916*cleaned_data!E296+33.6481*cleaned_data!F296-47714.01*cleaned_data!G296+3060.02*cleaned_data!I296+12599.55*cleaned_data!L296+13910.89*cleaned_data!K296+6379.19*dummy_variables!F296+18875.59*dummy_variables!G296+19293.73*dummy_variables!H296+41615.6*dummy_variables!I296+18404.23*dummy_variables!J296+29423.23*dummy_variables!K296</f>
        <v>507806.43317599996</v>
      </c>
      <c r="F295">
        <f t="shared" si="4"/>
        <v>-8836.1131759999553</v>
      </c>
    </row>
    <row r="296" spans="1:6">
      <c r="A296" s="8" t="s">
        <v>95</v>
      </c>
      <c r="B296" t="s">
        <v>27</v>
      </c>
      <c r="C296" t="s">
        <v>18</v>
      </c>
      <c r="D296">
        <v>533121.26</v>
      </c>
      <c r="E296">
        <f>48902.8015+1.1916*cleaned_data!E295+33.6481*cleaned_data!F295-47714.01*cleaned_data!G295+3060.02*cleaned_data!I295+12599.55*cleaned_data!L295+13910.89*cleaned_data!K295+6379.19*dummy_variables!F295+18875.59*dummy_variables!G295+19293.73*dummy_variables!H295+41615.6*dummy_variables!I295+18404.23*dummy_variables!J295+29423.23*dummy_variables!K295</f>
        <v>532393.48991799995</v>
      </c>
      <c r="F296">
        <f t="shared" si="4"/>
        <v>727.77008200006094</v>
      </c>
    </row>
    <row r="297" spans="1:6">
      <c r="A297" s="8" t="s">
        <v>95</v>
      </c>
      <c r="B297" t="s">
        <v>27</v>
      </c>
      <c r="C297" t="s">
        <v>18</v>
      </c>
      <c r="D297">
        <v>487738.26</v>
      </c>
      <c r="E297">
        <f>48902.8015+1.1916*cleaned_data!E297+33.6481*cleaned_data!F297-47714.01*cleaned_data!G297+3060.02*cleaned_data!I297+12599.55*cleaned_data!L297+13910.89*cleaned_data!K297+6379.19*dummy_variables!F297+18875.59*dummy_variables!G297+19293.73*dummy_variables!H297+41615.6*dummy_variables!I297+18404.23*dummy_variables!J297+29423.23*dummy_variables!K297</f>
        <v>474884.68253799999</v>
      </c>
      <c r="F297">
        <f t="shared" si="4"/>
        <v>12853.577462000016</v>
      </c>
    </row>
    <row r="298" spans="1:6">
      <c r="A298" s="8" t="s">
        <v>96</v>
      </c>
      <c r="B298" t="s">
        <v>27</v>
      </c>
      <c r="C298" t="s">
        <v>18</v>
      </c>
      <c r="D298">
        <v>401582.58</v>
      </c>
      <c r="E298">
        <f>48902.8015+1.1916*cleaned_data!E301+33.6481*cleaned_data!F301-47714.01*cleaned_data!G301+3060.02*cleaned_data!I301+12599.55*cleaned_data!L301+13910.89*cleaned_data!K301+6379.19*dummy_variables!F301+18875.59*dummy_variables!G301+19293.73*dummy_variables!H301+41615.6*dummy_variables!I301+18404.23*dummy_variables!J301+29423.23*dummy_variables!K301</f>
        <v>472821.01749799988</v>
      </c>
      <c r="F298">
        <f t="shared" si="4"/>
        <v>-71238.437497999868</v>
      </c>
    </row>
    <row r="299" spans="1:6">
      <c r="A299" s="8" t="s">
        <v>96</v>
      </c>
      <c r="B299" t="s">
        <v>27</v>
      </c>
      <c r="C299" t="s">
        <v>18</v>
      </c>
      <c r="D299">
        <v>599017.32999999996</v>
      </c>
      <c r="E299">
        <f>48902.8015+1.1916*cleaned_data!E300+33.6481*cleaned_data!F300-47714.01*cleaned_data!G300+3060.02*cleaned_data!I300+12599.55*cleaned_data!L300+13910.89*cleaned_data!K300+6379.19*dummy_variables!F300+18875.59*dummy_variables!G300+19293.73*dummy_variables!H300+41615.6*dummy_variables!I300+18404.23*dummy_variables!J300+29423.23*dummy_variables!K300</f>
        <v>620653.96967999998</v>
      </c>
      <c r="F299">
        <f t="shared" si="4"/>
        <v>-21636.639680000022</v>
      </c>
    </row>
    <row r="300" spans="1:6">
      <c r="A300" s="8" t="s">
        <v>96</v>
      </c>
      <c r="B300" t="s">
        <v>27</v>
      </c>
      <c r="C300" t="s">
        <v>18</v>
      </c>
      <c r="D300">
        <v>668459.37</v>
      </c>
      <c r="E300">
        <f>48902.8015+1.1916*cleaned_data!E298+33.6481*cleaned_data!F298-47714.01*cleaned_data!G298+3060.02*cleaned_data!I298+12599.55*cleaned_data!L298+13910.89*cleaned_data!K298+6379.19*dummy_variables!F298+18875.59*dummy_variables!G298+19293.73*dummy_variables!H298+41615.6*dummy_variables!I298+18404.23*dummy_variables!J298+29423.23*dummy_variables!K298</f>
        <v>675991.06743599998</v>
      </c>
      <c r="F300">
        <f t="shared" si="4"/>
        <v>-7531.6974359999876</v>
      </c>
    </row>
    <row r="301" spans="1:6">
      <c r="A301" s="8" t="s">
        <v>96</v>
      </c>
      <c r="B301" t="s">
        <v>27</v>
      </c>
      <c r="C301" t="s">
        <v>18</v>
      </c>
      <c r="D301">
        <v>763162.45</v>
      </c>
      <c r="E301">
        <f>48902.8015+1.1916*cleaned_data!E299+33.6481*cleaned_data!F299-47714.01*cleaned_data!G299+3060.02*cleaned_data!I299+12599.55*cleaned_data!L299+13910.89*cleaned_data!K299+6379.19*dummy_variables!F299+18875.59*dummy_variables!G299+19293.73*dummy_variables!H299+41615.6*dummy_variables!I299+18404.23*dummy_variables!J299+29423.23*dummy_variables!K299</f>
        <v>682418.22585599998</v>
      </c>
      <c r="F301">
        <f t="shared" si="4"/>
        <v>80744.224143999978</v>
      </c>
    </row>
    <row r="302" spans="1:6">
      <c r="A302" s="8" t="s">
        <v>97</v>
      </c>
      <c r="B302" t="s">
        <v>20</v>
      </c>
      <c r="C302" t="s">
        <v>28</v>
      </c>
      <c r="D302">
        <v>703812.99</v>
      </c>
      <c r="E302">
        <f>48902.8015+1.1916*cleaned_data!E302+33.6481*cleaned_data!F302-47714.01*cleaned_data!G302+3060.02*cleaned_data!I302+12599.55*cleaned_data!L302+13910.89*cleaned_data!K302+6379.19*dummy_variables!F302+18875.59*dummy_variables!G302+19293.73*dummy_variables!H302+41615.6*dummy_variables!I302+18404.23*dummy_variables!J302+29423.23*dummy_variables!K302</f>
        <v>739540.23986199999</v>
      </c>
      <c r="F302">
        <f t="shared" si="4"/>
        <v>-35727.249861999997</v>
      </c>
    </row>
    <row r="303" spans="1:6">
      <c r="A303" s="8" t="s">
        <v>97</v>
      </c>
      <c r="B303" t="s">
        <v>20</v>
      </c>
      <c r="C303" t="s">
        <v>28</v>
      </c>
      <c r="D303">
        <v>730890.01</v>
      </c>
      <c r="E303">
        <f>48902.8015+1.1916*cleaned_data!E304+33.6481*cleaned_data!F304-47714.01*cleaned_data!G304+3060.02*cleaned_data!I304+12599.55*cleaned_data!L304+13910.89*cleaned_data!K304+6379.19*dummy_variables!F304+18875.59*dummy_variables!G304+19293.73*dummy_variables!H304+41615.6*dummy_variables!I304+18404.23*dummy_variables!J304+29423.23*dummy_variables!K304</f>
        <v>759560.31241999997</v>
      </c>
      <c r="F303">
        <f t="shared" si="4"/>
        <v>-28670.302419999964</v>
      </c>
    </row>
    <row r="304" spans="1:6">
      <c r="A304" s="8" t="s">
        <v>97</v>
      </c>
      <c r="B304" t="s">
        <v>20</v>
      </c>
      <c r="C304" t="s">
        <v>28</v>
      </c>
      <c r="D304">
        <v>724346.73</v>
      </c>
      <c r="E304">
        <f>48902.8015+1.1916*cleaned_data!E303+33.6481*cleaned_data!F303-47714.01*cleaned_data!G303+3060.02*cleaned_data!I303+12599.55*cleaned_data!L303+13910.89*cleaned_data!K303+6379.19*dummy_variables!F303+18875.59*dummy_variables!G303+19293.73*dummy_variables!H303+41615.6*dummy_variables!I303+18404.23*dummy_variables!J303+29423.23*dummy_variables!K303</f>
        <v>727753.9420279999</v>
      </c>
      <c r="F304">
        <f t="shared" si="4"/>
        <v>-3407.2120279999217</v>
      </c>
    </row>
    <row r="305" spans="1:6">
      <c r="A305" s="8" t="s">
        <v>97</v>
      </c>
      <c r="B305" t="s">
        <v>20</v>
      </c>
      <c r="C305" t="s">
        <v>28</v>
      </c>
      <c r="D305">
        <v>780580.95</v>
      </c>
      <c r="E305">
        <f>48902.8015+1.1916*cleaned_data!E305+33.6481*cleaned_data!F305-47714.01*cleaned_data!G305+3060.02*cleaned_data!I305+12599.55*cleaned_data!L305+13910.89*cleaned_data!K305+6379.19*dummy_variables!F305+18875.59*dummy_variables!G305+19293.73*dummy_variables!H305+41615.6*dummy_variables!I305+18404.23*dummy_variables!J305+29423.23*dummy_variables!K305</f>
        <v>726228.1429199999</v>
      </c>
      <c r="F305">
        <f t="shared" si="4"/>
        <v>54352.807080000057</v>
      </c>
    </row>
    <row r="306" spans="1:6">
      <c r="A306" s="8" t="s">
        <v>98</v>
      </c>
      <c r="B306" t="s">
        <v>24</v>
      </c>
      <c r="C306" t="s">
        <v>16</v>
      </c>
      <c r="D306">
        <v>538376</v>
      </c>
      <c r="E306">
        <f>48902.8015+1.1916*cleaned_data!E307+33.6481*cleaned_data!F307-47714.01*cleaned_data!G307+3060.02*cleaned_data!I307+12599.55*cleaned_data!L307+13910.89*cleaned_data!K307+6379.19*dummy_variables!F307+18875.59*dummy_variables!G307+19293.73*dummy_variables!H307+41615.6*dummy_variables!I307+18404.23*dummy_variables!J307+29423.23*dummy_variables!K307</f>
        <v>629611.29301400005</v>
      </c>
      <c r="F306">
        <f t="shared" si="4"/>
        <v>-91235.293014000054</v>
      </c>
    </row>
    <row r="307" spans="1:6">
      <c r="A307" s="8" t="s">
        <v>98</v>
      </c>
      <c r="B307" t="s">
        <v>24</v>
      </c>
      <c r="C307" t="s">
        <v>16</v>
      </c>
      <c r="D307">
        <v>651164.18000000005</v>
      </c>
      <c r="E307">
        <f>48902.8015+1.1916*cleaned_data!E309+33.6481*cleaned_data!F309-47714.01*cleaned_data!G309+3060.02*cleaned_data!I309+12599.55*cleaned_data!L309+13910.89*cleaned_data!K309+6379.19*dummy_variables!F309+18875.59*dummy_variables!G309+19293.73*dummy_variables!H309+41615.6*dummy_variables!I309+18404.23*dummy_variables!J309+29423.23*dummy_variables!K309</f>
        <v>698865.55163</v>
      </c>
      <c r="F307">
        <f t="shared" si="4"/>
        <v>-47701.371629999951</v>
      </c>
    </row>
    <row r="308" spans="1:6">
      <c r="A308" s="8" t="s">
        <v>98</v>
      </c>
      <c r="B308" t="s">
        <v>24</v>
      </c>
      <c r="C308" t="s">
        <v>16</v>
      </c>
      <c r="D308">
        <v>665342.49</v>
      </c>
      <c r="E308">
        <f>48902.8015+1.1916*cleaned_data!E308+33.6481*cleaned_data!F308-47714.01*cleaned_data!G308+3060.02*cleaned_data!I308+12599.55*cleaned_data!L308+13910.89*cleaned_data!K308+6379.19*dummy_variables!F308+18875.59*dummy_variables!G308+19293.73*dummy_variables!H308+41615.6*dummy_variables!I308+18404.23*dummy_variables!J308+29423.23*dummy_variables!K308</f>
        <v>622890.42615599988</v>
      </c>
      <c r="F308">
        <f t="shared" si="4"/>
        <v>42452.063844000106</v>
      </c>
    </row>
    <row r="309" spans="1:6">
      <c r="A309" s="8" t="s">
        <v>98</v>
      </c>
      <c r="B309" t="s">
        <v>24</v>
      </c>
      <c r="C309" t="s">
        <v>16</v>
      </c>
      <c r="D309">
        <v>727957.48</v>
      </c>
      <c r="E309">
        <f>48902.8015+1.1916*cleaned_data!E306+33.6481*cleaned_data!F306-47714.01*cleaned_data!G306+3060.02*cleaned_data!I306+12599.55*cleaned_data!L306+13910.89*cleaned_data!K306+6379.19*dummy_variables!F306+18875.59*dummy_variables!G306+19293.73*dummy_variables!H306+41615.6*dummy_variables!I306+18404.23*dummy_variables!J306+29423.23*dummy_variables!K306</f>
        <v>683949.56370199996</v>
      </c>
      <c r="F309">
        <f t="shared" si="4"/>
        <v>44007.916298000026</v>
      </c>
    </row>
    <row r="310" spans="1:6">
      <c r="A310" s="8" t="s">
        <v>99</v>
      </c>
      <c r="B310" t="s">
        <v>24</v>
      </c>
      <c r="C310" t="s">
        <v>18</v>
      </c>
      <c r="D310">
        <v>536524.84</v>
      </c>
      <c r="E310">
        <f>48902.8015+1.1916*cleaned_data!E311+33.6481*cleaned_data!F311-47714.01*cleaned_data!G311+3060.02*cleaned_data!I311+12599.55*cleaned_data!L311+13910.89*cleaned_data!K311+6379.19*dummy_variables!F311+18875.59*dummy_variables!G311+19293.73*dummy_variables!H311+41615.6*dummy_variables!I311+18404.23*dummy_variables!J311+29423.23*dummy_variables!K311</f>
        <v>582350.0053379999</v>
      </c>
      <c r="F310">
        <f t="shared" si="4"/>
        <v>-45825.165337999933</v>
      </c>
    </row>
    <row r="311" spans="1:6">
      <c r="A311" s="8" t="s">
        <v>99</v>
      </c>
      <c r="B311" t="s">
        <v>24</v>
      </c>
      <c r="C311" t="s">
        <v>18</v>
      </c>
      <c r="D311">
        <v>628538.30000000005</v>
      </c>
      <c r="E311">
        <f>48902.8015+1.1916*cleaned_data!E310+33.6481*cleaned_data!F310-47714.01*cleaned_data!G310+3060.02*cleaned_data!I310+12599.55*cleaned_data!L310+13910.89*cleaned_data!K310+6379.19*dummy_variables!F310+18875.59*dummy_variables!G310+19293.73*dummy_variables!H310+41615.6*dummy_variables!I310+18404.23*dummy_variables!J310+29423.23*dummy_variables!K310</f>
        <v>648515.63081999996</v>
      </c>
      <c r="F311">
        <f t="shared" si="4"/>
        <v>-19977.330819999916</v>
      </c>
    </row>
    <row r="312" spans="1:6">
      <c r="A312" s="8" t="s">
        <v>99</v>
      </c>
      <c r="B312" t="s">
        <v>24</v>
      </c>
      <c r="C312" t="s">
        <v>18</v>
      </c>
      <c r="D312">
        <v>621677.30000000005</v>
      </c>
      <c r="E312">
        <f>48902.8015+1.1916*cleaned_data!E312+33.6481*cleaned_data!F312-47714.01*cleaned_data!G312+3060.02*cleaned_data!I312+12599.55*cleaned_data!L312+13910.89*cleaned_data!K312+6379.19*dummy_variables!F312+18875.59*dummy_variables!G312+19293.73*dummy_variables!H312+41615.6*dummy_variables!I312+18404.23*dummy_variables!J312+29423.23*dummy_variables!K312</f>
        <v>639376.63420399989</v>
      </c>
      <c r="F312">
        <f t="shared" si="4"/>
        <v>-17699.334203999839</v>
      </c>
    </row>
    <row r="313" spans="1:6">
      <c r="A313" s="8" t="s">
        <v>99</v>
      </c>
      <c r="B313" t="s">
        <v>24</v>
      </c>
      <c r="C313" t="s">
        <v>18</v>
      </c>
      <c r="D313">
        <v>771129.07</v>
      </c>
      <c r="E313">
        <f>48902.8015+1.1916*cleaned_data!E313+33.6481*cleaned_data!F313-47714.01*cleaned_data!G313+3060.02*cleaned_data!I313+12599.55*cleaned_data!L313+13910.89*cleaned_data!K313+6379.19*dummy_variables!F313+18875.59*dummy_variables!G313+19293.73*dummy_variables!H313+41615.6*dummy_variables!I313+18404.23*dummy_variables!J313+29423.23*dummy_variables!K313</f>
        <v>755050.66970799991</v>
      </c>
      <c r="F313">
        <f t="shared" si="4"/>
        <v>16078.400292000035</v>
      </c>
    </row>
    <row r="314" spans="1:6">
      <c r="A314" s="8" t="s">
        <v>100</v>
      </c>
      <c r="B314" t="s">
        <v>20</v>
      </c>
      <c r="C314" t="s">
        <v>16</v>
      </c>
      <c r="D314">
        <v>688368.46</v>
      </c>
      <c r="E314">
        <f>48902.8015+1.1916*cleaned_data!E315+33.6481*cleaned_data!F315-47714.01*cleaned_data!G315+3060.02*cleaned_data!I315+12599.55*cleaned_data!L315+13910.89*cleaned_data!K315+6379.19*dummy_variables!F315+18875.59*dummy_variables!G315+19293.73*dummy_variables!H315+41615.6*dummy_variables!I315+18404.23*dummy_variables!J315+29423.23*dummy_variables!K315</f>
        <v>711043.46185399988</v>
      </c>
      <c r="F314">
        <f t="shared" si="4"/>
        <v>-22675.001853999915</v>
      </c>
    </row>
    <row r="315" spans="1:6">
      <c r="A315" s="8" t="s">
        <v>100</v>
      </c>
      <c r="B315" t="s">
        <v>20</v>
      </c>
      <c r="C315" t="s">
        <v>16</v>
      </c>
      <c r="D315">
        <v>712375.77</v>
      </c>
      <c r="E315">
        <f>48902.8015+1.1916*cleaned_data!E316+33.6481*cleaned_data!F316-47714.01*cleaned_data!G316+3060.02*cleaned_data!I316+12599.55*cleaned_data!L316+13910.89*cleaned_data!K316+6379.19*dummy_variables!F316+18875.59*dummy_variables!G316+19293.73*dummy_variables!H316+41615.6*dummy_variables!I316+18404.23*dummy_variables!J316+29423.23*dummy_variables!K316</f>
        <v>690855.24744599988</v>
      </c>
      <c r="F315">
        <f t="shared" si="4"/>
        <v>21520.522554000141</v>
      </c>
    </row>
    <row r="316" spans="1:6">
      <c r="A316" s="8" t="s">
        <v>100</v>
      </c>
      <c r="B316" t="s">
        <v>20</v>
      </c>
      <c r="C316" t="s">
        <v>16</v>
      </c>
      <c r="D316">
        <v>844710.67</v>
      </c>
      <c r="E316">
        <f>48902.8015+1.1916*cleaned_data!E317+33.6481*cleaned_data!F317-47714.01*cleaned_data!G317+3060.02*cleaned_data!I317+12599.55*cleaned_data!L317+13910.89*cleaned_data!K317+6379.19*dummy_variables!F317+18875.59*dummy_variables!G317+19293.73*dummy_variables!H317+41615.6*dummy_variables!I317+18404.23*dummy_variables!J317+29423.23*dummy_variables!K317</f>
        <v>807390.79836799996</v>
      </c>
      <c r="F316">
        <f t="shared" si="4"/>
        <v>37319.871632000082</v>
      </c>
    </row>
    <row r="317" spans="1:6">
      <c r="A317" s="8" t="s">
        <v>100</v>
      </c>
      <c r="B317" t="s">
        <v>20</v>
      </c>
      <c r="C317" t="s">
        <v>16</v>
      </c>
      <c r="D317">
        <v>702052.47</v>
      </c>
      <c r="E317">
        <f>48902.8015+1.1916*cleaned_data!E314+33.6481*cleaned_data!F314-47714.01*cleaned_data!G314+3060.02*cleaned_data!I314+12599.55*cleaned_data!L314+13910.89*cleaned_data!K314+6379.19*dummy_variables!F314+18875.59*dummy_variables!G314+19293.73*dummy_variables!H314+41615.6*dummy_variables!I314+18404.23*dummy_variables!J314+29423.23*dummy_variables!K314</f>
        <v>660254.76252199989</v>
      </c>
      <c r="F317">
        <f t="shared" si="4"/>
        <v>41797.707478000084</v>
      </c>
    </row>
    <row r="318" spans="1:6">
      <c r="A318" s="8" t="s">
        <v>101</v>
      </c>
      <c r="B318" t="s">
        <v>15</v>
      </c>
      <c r="C318" t="s">
        <v>16</v>
      </c>
      <c r="D318">
        <v>620264.19999999995</v>
      </c>
      <c r="E318">
        <f>48902.8015+1.1916*cleaned_data!E318+33.6481*cleaned_data!F318-47714.01*cleaned_data!G318+3060.02*cleaned_data!I318+12599.55*cleaned_data!L318+13910.89*cleaned_data!K318+6379.19*dummy_variables!F318+18875.59*dummy_variables!G318+19293.73*dummy_variables!H318+41615.6*dummy_variables!I318+18404.23*dummy_variables!J318+29423.23*dummy_variables!K318</f>
        <v>670220.77137199999</v>
      </c>
      <c r="F318">
        <f t="shared" si="4"/>
        <v>-49956.571372000035</v>
      </c>
    </row>
    <row r="319" spans="1:6">
      <c r="A319" s="8" t="s">
        <v>101</v>
      </c>
      <c r="B319" t="s">
        <v>15</v>
      </c>
      <c r="C319" t="s">
        <v>16</v>
      </c>
      <c r="D319">
        <v>559660.84</v>
      </c>
      <c r="E319">
        <f>48902.8015+1.1916*cleaned_data!E321+33.6481*cleaned_data!F321-47714.01*cleaned_data!G321+3060.02*cleaned_data!I321+12599.55*cleaned_data!L321+13910.89*cleaned_data!K321+6379.19*dummy_variables!F321+18875.59*dummy_variables!G321+19293.73*dummy_variables!H321+41615.6*dummy_variables!I321+18404.23*dummy_variables!J321+29423.23*dummy_variables!K321</f>
        <v>577877.86442600004</v>
      </c>
      <c r="F319">
        <f t="shared" si="4"/>
        <v>-18217.024426000076</v>
      </c>
    </row>
    <row r="320" spans="1:6">
      <c r="A320" s="8" t="s">
        <v>101</v>
      </c>
      <c r="B320" t="s">
        <v>15</v>
      </c>
      <c r="C320" t="s">
        <v>16</v>
      </c>
      <c r="D320">
        <v>726776.22</v>
      </c>
      <c r="E320">
        <f>48902.8015+1.1916*cleaned_data!E320+33.6481*cleaned_data!F320-47714.01*cleaned_data!G320+3060.02*cleaned_data!I320+12599.55*cleaned_data!L320+13910.89*cleaned_data!K320+6379.19*dummy_variables!F320+18875.59*dummy_variables!G320+19293.73*dummy_variables!H320+41615.6*dummy_variables!I320+18404.23*dummy_variables!J320+29423.23*dummy_variables!K320</f>
        <v>725396.08517799992</v>
      </c>
      <c r="F320">
        <f t="shared" si="4"/>
        <v>1380.1348220000509</v>
      </c>
    </row>
    <row r="321" spans="1:6">
      <c r="A321" s="8" t="s">
        <v>101</v>
      </c>
      <c r="B321" t="s">
        <v>15</v>
      </c>
      <c r="C321" t="s">
        <v>16</v>
      </c>
      <c r="D321">
        <v>536845.42000000004</v>
      </c>
      <c r="E321">
        <f>48902.8015+1.1916*cleaned_data!E319+33.6481*cleaned_data!F319-47714.01*cleaned_data!G319+3060.02*cleaned_data!I319+12599.55*cleaned_data!L319+13910.89*cleaned_data!K319+6379.19*dummy_variables!F319+18875.59*dummy_variables!G319+19293.73*dummy_variables!H319+41615.6*dummy_variables!I319+18404.23*dummy_variables!J319+29423.23*dummy_variables!K319</f>
        <v>511390.49839600001</v>
      </c>
      <c r="F321">
        <f t="shared" si="4"/>
        <v>25454.921604000032</v>
      </c>
    </row>
  </sheetData>
  <sortState xmlns:xlrd2="http://schemas.microsoft.com/office/spreadsheetml/2017/richdata2" ref="A2:F321">
    <sortCondition ref="A2:A3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CAC3-AE18-B242-97E3-4885C06C477E}">
  <dimension ref="A1:F5"/>
  <sheetViews>
    <sheetView topLeftCell="B1" workbookViewId="0">
      <selection activeCell="F1" sqref="F1:F5"/>
    </sheetView>
  </sheetViews>
  <sheetFormatPr baseColWidth="10" defaultRowHeight="16"/>
  <cols>
    <col min="2" max="2" width="16.5" customWidth="1"/>
    <col min="4" max="4" width="14" customWidth="1"/>
    <col min="5" max="5" width="117.83203125" customWidth="1"/>
    <col min="6" max="6" width="17.33203125" customWidth="1"/>
  </cols>
  <sheetData>
    <row r="1" spans="1:6">
      <c r="A1" s="9" t="s">
        <v>108</v>
      </c>
      <c r="B1" s="9" t="s">
        <v>147</v>
      </c>
      <c r="C1" s="9" t="s">
        <v>148</v>
      </c>
      <c r="D1" s="9" t="s">
        <v>149</v>
      </c>
      <c r="E1" s="9" t="s">
        <v>150</v>
      </c>
      <c r="F1" s="9" t="s">
        <v>151</v>
      </c>
    </row>
    <row r="2" spans="1:6">
      <c r="A2" s="9" t="s">
        <v>152</v>
      </c>
      <c r="B2" s="10" t="s">
        <v>4</v>
      </c>
      <c r="C2" s="10">
        <v>0.16700000000000001</v>
      </c>
      <c r="D2" s="10">
        <v>0.16500000000000001</v>
      </c>
      <c r="E2" s="10" t="s">
        <v>4</v>
      </c>
      <c r="F2" s="10" t="s">
        <v>153</v>
      </c>
    </row>
    <row r="3" spans="1:6">
      <c r="A3" s="9" t="s">
        <v>154</v>
      </c>
      <c r="B3" s="10" t="s">
        <v>5</v>
      </c>
      <c r="C3" s="10">
        <v>0.73599999999999999</v>
      </c>
      <c r="D3" s="10">
        <v>0.73499999999999999</v>
      </c>
      <c r="E3" s="10" t="s">
        <v>5</v>
      </c>
      <c r="F3" s="10" t="s">
        <v>155</v>
      </c>
    </row>
    <row r="4" spans="1:6">
      <c r="A4" s="9" t="s">
        <v>156</v>
      </c>
      <c r="B4" s="10" t="s">
        <v>6</v>
      </c>
      <c r="C4" s="10">
        <v>8.0000000000000002E-3</v>
      </c>
      <c r="D4" s="10">
        <v>5.0000000000000001E-3</v>
      </c>
      <c r="E4" s="10" t="s">
        <v>157</v>
      </c>
      <c r="F4" s="10" t="s">
        <v>157</v>
      </c>
    </row>
    <row r="5" spans="1:6">
      <c r="A5" s="9" t="s">
        <v>158</v>
      </c>
      <c r="B5" s="10" t="s">
        <v>159</v>
      </c>
      <c r="C5" s="10">
        <v>0.83399999999999996</v>
      </c>
      <c r="D5" s="10">
        <v>0.82799999999999996</v>
      </c>
      <c r="E5" s="10" t="s">
        <v>172</v>
      </c>
      <c r="F5" s="10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0BB5-E9ED-CA4C-BB59-AC92BE7DC774}">
  <dimension ref="A2:G13"/>
  <sheetViews>
    <sheetView workbookViewId="0">
      <selection activeCell="I17" sqref="I17"/>
    </sheetView>
  </sheetViews>
  <sheetFormatPr baseColWidth="10" defaultRowHeight="16"/>
  <cols>
    <col min="1" max="1" width="15.83203125" customWidth="1"/>
    <col min="3" max="4" width="11.1640625" customWidth="1"/>
    <col min="5" max="5" width="14.6640625" customWidth="1"/>
    <col min="6" max="6" width="19.33203125" customWidth="1"/>
    <col min="7" max="7" width="24.5" customWidth="1"/>
    <col min="8" max="8" width="13.6640625" customWidth="1"/>
    <col min="9" max="9" width="23.6640625" customWidth="1"/>
  </cols>
  <sheetData>
    <row r="2" spans="1:7">
      <c r="A2" s="7" t="s">
        <v>162</v>
      </c>
    </row>
    <row r="3" spans="1:7" s="7" customFormat="1">
      <c r="A3" s="11" t="s">
        <v>163</v>
      </c>
      <c r="B3" s="11" t="s">
        <v>164</v>
      </c>
      <c r="C3" s="11" t="s">
        <v>3</v>
      </c>
      <c r="D3" s="11" t="s">
        <v>168</v>
      </c>
      <c r="E3" s="11" t="s">
        <v>165</v>
      </c>
      <c r="F3" s="11" t="s">
        <v>119</v>
      </c>
      <c r="G3" s="11" t="s">
        <v>161</v>
      </c>
    </row>
    <row r="4" spans="1:7">
      <c r="A4" t="s">
        <v>166</v>
      </c>
      <c r="B4" t="s">
        <v>15</v>
      </c>
      <c r="C4" t="s">
        <v>167</v>
      </c>
      <c r="D4" s="12">
        <v>713611.16</v>
      </c>
      <c r="E4" s="12">
        <v>599887.27</v>
      </c>
      <c r="F4" s="12">
        <v>113723.89</v>
      </c>
      <c r="G4" s="12" t="str">
        <f>IF(F4&gt;0, "POSITIVE (Under-Predicted)", "NEGATIVE (Over-Predicted)")</f>
        <v>POSITIVE (Under-Predicted)</v>
      </c>
    </row>
    <row r="5" spans="1:7">
      <c r="A5" t="s">
        <v>94</v>
      </c>
      <c r="B5" t="s">
        <v>169</v>
      </c>
      <c r="C5" t="s">
        <v>16</v>
      </c>
      <c r="D5" s="12">
        <v>813316.71</v>
      </c>
      <c r="E5" s="12">
        <v>716945.97</v>
      </c>
      <c r="F5" s="12">
        <v>96370.74</v>
      </c>
      <c r="G5" s="12" t="str">
        <f t="shared" ref="G5:G13" si="0">IF(F5&gt;0, "POSITIVE (Under-Predicted)", "NEGATIVE (Over-Predicted)")</f>
        <v>POSITIVE (Under-Predicted)</v>
      </c>
    </row>
    <row r="6" spans="1:7">
      <c r="A6" t="s">
        <v>71</v>
      </c>
      <c r="B6" t="s">
        <v>20</v>
      </c>
      <c r="C6" t="s">
        <v>16</v>
      </c>
      <c r="D6" s="12">
        <v>735786.64</v>
      </c>
      <c r="E6" s="12">
        <v>642886.31000000006</v>
      </c>
      <c r="F6" s="12">
        <v>92900.33</v>
      </c>
      <c r="G6" s="12" t="str">
        <f t="shared" si="0"/>
        <v>POSITIVE (Under-Predicted)</v>
      </c>
    </row>
    <row r="7" spans="1:7">
      <c r="A7" t="s">
        <v>90</v>
      </c>
      <c r="B7" t="s">
        <v>27</v>
      </c>
      <c r="C7" t="s">
        <v>18</v>
      </c>
      <c r="D7" s="12">
        <v>686737.87</v>
      </c>
      <c r="E7" s="12">
        <v>593995.25</v>
      </c>
      <c r="F7" s="12">
        <v>92742.62</v>
      </c>
      <c r="G7" s="12" t="str">
        <f t="shared" si="0"/>
        <v>POSITIVE (Under-Predicted)</v>
      </c>
    </row>
    <row r="8" spans="1:7">
      <c r="A8" t="s">
        <v>170</v>
      </c>
      <c r="B8" t="s">
        <v>27</v>
      </c>
      <c r="C8" t="s">
        <v>16</v>
      </c>
      <c r="D8" s="12">
        <v>820519.04</v>
      </c>
      <c r="E8" s="12">
        <v>729695.55</v>
      </c>
      <c r="F8" s="12">
        <v>90823.49</v>
      </c>
      <c r="G8" s="12" t="str">
        <f t="shared" si="0"/>
        <v>POSITIVE (Under-Predicted)</v>
      </c>
    </row>
    <row r="9" spans="1:7">
      <c r="A9" t="s">
        <v>171</v>
      </c>
      <c r="B9" t="s">
        <v>27</v>
      </c>
      <c r="C9" t="s">
        <v>18</v>
      </c>
      <c r="D9" s="12">
        <v>685379.08</v>
      </c>
      <c r="E9" s="12">
        <v>857418.08</v>
      </c>
      <c r="F9" s="12">
        <v>-172039</v>
      </c>
      <c r="G9" s="12" t="str">
        <f t="shared" si="0"/>
        <v>NEGATIVE (Over-Predicted)</v>
      </c>
    </row>
    <row r="10" spans="1:7">
      <c r="A10" t="s">
        <v>44</v>
      </c>
      <c r="B10" t="s">
        <v>24</v>
      </c>
      <c r="C10" t="s">
        <v>167</v>
      </c>
      <c r="D10" s="12">
        <v>627171.9</v>
      </c>
      <c r="E10" s="12">
        <v>769860.2</v>
      </c>
      <c r="F10" s="12">
        <v>-142688.29999999999</v>
      </c>
      <c r="G10" s="12" t="str">
        <f t="shared" si="0"/>
        <v>NEGATIVE (Over-Predicted)</v>
      </c>
    </row>
    <row r="11" spans="1:7">
      <c r="A11" t="s">
        <v>33</v>
      </c>
      <c r="B11" t="s">
        <v>27</v>
      </c>
      <c r="C11" t="s">
        <v>16</v>
      </c>
      <c r="D11" s="12">
        <v>595467.6</v>
      </c>
      <c r="E11" s="12">
        <v>714125.72</v>
      </c>
      <c r="F11" s="12">
        <v>-118658.12</v>
      </c>
      <c r="G11" s="12" t="str">
        <f t="shared" si="0"/>
        <v>NEGATIVE (Over-Predicted)</v>
      </c>
    </row>
    <row r="12" spans="1:7">
      <c r="A12" t="s">
        <v>26</v>
      </c>
      <c r="B12" t="s">
        <v>27</v>
      </c>
      <c r="C12" t="s">
        <v>167</v>
      </c>
      <c r="D12" s="12">
        <v>800451.94</v>
      </c>
      <c r="E12" s="12">
        <v>909678.69</v>
      </c>
      <c r="F12" s="12">
        <v>-109226.75</v>
      </c>
      <c r="G12" s="12" t="str">
        <f t="shared" si="0"/>
        <v>NEGATIVE (Over-Predicted)</v>
      </c>
    </row>
    <row r="13" spans="1:7">
      <c r="A13" t="s">
        <v>35</v>
      </c>
      <c r="B13" t="s">
        <v>27</v>
      </c>
      <c r="C13" t="s">
        <v>18</v>
      </c>
      <c r="D13" s="12">
        <v>463534.25</v>
      </c>
      <c r="E13" s="12">
        <v>563052.92000000004</v>
      </c>
      <c r="F13" s="12">
        <v>-99518.67</v>
      </c>
      <c r="G13" s="12" t="str">
        <f t="shared" si="0"/>
        <v>NEGATIVE (Over-Predicted)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original_data</vt:lpstr>
      <vt:lpstr>cleaned_data</vt:lpstr>
      <vt:lpstr>dummy_variables</vt:lpstr>
      <vt:lpstr>simple_regression</vt:lpstr>
      <vt:lpstr>multiple_regression</vt:lpstr>
      <vt:lpstr>multiple_helper</vt:lpstr>
      <vt:lpstr>predictions_residuals</vt:lpstr>
      <vt:lpstr>model_comparison</vt:lpstr>
      <vt:lpstr>top_residuals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Yogesh Choudhari</dc:creator>
  <cp:lastModifiedBy>Aditya Yogesh Choudhari</cp:lastModifiedBy>
  <dcterms:created xsi:type="dcterms:W3CDTF">2026-06-24T00:48:17Z</dcterms:created>
  <dcterms:modified xsi:type="dcterms:W3CDTF">2026-06-24T14:42:36Z</dcterms:modified>
</cp:coreProperties>
</file>